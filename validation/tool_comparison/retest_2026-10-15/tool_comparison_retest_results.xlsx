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acbook/Downloads/Retest_package_2026-10/"/>
    </mc:Choice>
  </mc:AlternateContent>
  <xr:revisionPtr revIDLastSave="0" documentId="13_ncr:1_{0E030757-3251-304A-8050-294A6A8B38F0}" xr6:coauthVersionLast="47" xr6:coauthVersionMax="47" xr10:uidLastSave="{00000000-0000-0000-0000-000000000000}"/>
  <bookViews>
    <workbookView xWindow="39760" yWindow="780" windowWidth="30140" windowHeight="19500" activeTab="2" xr2:uid="{00000000-000D-0000-FFFF-FFFF00000000}"/>
  </bookViews>
  <sheets>
    <sheet name="README" sheetId="1" r:id="rId1"/>
    <sheet name="Setup" sheetId="2" r:id="rId2"/>
    <sheet name="Results" sheetId="3" r:id="rId3"/>
    <sheet name="E1_actions" sheetId="4" r:id="rId4"/>
    <sheet name="Tasks" sheetId="5" r:id="rId5"/>
    <sheet name="Criteri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B27" i="2"/>
  <c r="B26" i="2"/>
  <c r="B24" i="2"/>
</calcChain>
</file>

<file path=xl/sharedStrings.xml><?xml version="1.0" encoding="utf-8"?>
<sst xmlns="http://schemas.openxmlformats.org/spreadsheetml/2006/main" count="317" uniqueCount="240">
  <si>
    <t>Tool comparison RETEST — results workbook (October 2026)</t>
  </si>
  <si>
    <t>Companion to TOOL_COMPARISON_INSTRUCTIONS.docx, Part I. Read README_FIRST.docx and Part I of the guide first. Do NOT do Part II.</t>
  </si>
  <si>
    <t>1. Fill the Setup sheet first. Yellow cells are yours; grey cells are pre-filled — do not change them.</t>
  </si>
  <si>
    <t>2. Results sheet: 12 rows. Do not add, delete or reorder rows or columns. Fill the yellow cells in every row: version, date_tested, score, what_you_did, what_you_observed, screenshot (and problem_or_error if something fails).</t>
  </si>
  <si>
    <t>3. The 'task' and 'scoring_rule' columns (K, L) tell you what to do and how to score each row. The Tasks sheet has the full wording.</t>
  </si>
  <si>
    <t>4. score: pick ✓, (✓), ✕ or ERROR from the drop-down. For E1 type a number (actions counted). Never score from memory, documentation or the September answer.</t>
  </si>
  <si>
    <t>5. what_you_observed is the most important column: copy messages word for word and say where they appeared.</t>
  </si>
  <si>
    <t>6. screenshot: file names only, saved as &lt;tool&gt;_&lt;criterion&gt;_r2.png (for example EasyTableOne_C3_r2.png) in your screenshots folder.</t>
  </si>
  <si>
    <t>7. E1: use the E1_actions sheet to write every action as you do it; put the total in Results too.</t>
  </si>
  <si>
    <t>8. If something goes wrong: paste the exact error text in problem_or_error, put ERROR in score, and tell the author. Do not improvise another method.</t>
  </si>
  <si>
    <t>9. Save often. Send back: this file, the screenshots folder, the EasyTableOne_exports folder (Download All zip, extracted).</t>
  </si>
  <si>
    <t>Fixed facts: app v3.19.0, deployed commit b836577, ruleset 1.7. Datasets hf_comparison.csv and hf_guardrail_probe.csv with the SHA-256 hashes in README_FIRST — check them before use.</t>
  </si>
  <si>
    <t>Your computer</t>
  </si>
  <si>
    <t>Your name</t>
  </si>
  <si>
    <t>Operating system and version (e.g. Windows 11 23H2)</t>
  </si>
  <si>
    <t>RAM (GB)</t>
  </si>
  <si>
    <t>Web browser and version (Chrome; Help &gt; About)</t>
  </si>
  <si>
    <t>R version (R.version.string; Part A)</t>
  </si>
  <si>
    <t>RStudio version (Part A, if used)</t>
  </si>
  <si>
    <t>Date of the retest (Part B)</t>
  </si>
  <si>
    <t>Tool versions</t>
  </si>
  <si>
    <t>tool (as in Results sheet)</t>
  </si>
  <si>
    <t>version</t>
  </si>
  <si>
    <t>how obtained</t>
  </si>
  <si>
    <t>date_tested</t>
  </si>
  <si>
    <t>compareGroups</t>
  </si>
  <si>
    <t>packageVersion("compareGroups") (September: 4.10.4 — write what you actually have)</t>
  </si>
  <si>
    <t>gtsummary</t>
  </si>
  <si>
    <t>packageVersion("gtsummary") (September: 2.6.1)</t>
  </si>
  <si>
    <t>EasyTableOne</t>
  </si>
  <si>
    <t>3.19.0</t>
  </si>
  <si>
    <t>About dialog in the app: must read 3.19.0 and ruleset 1.7. If not, STOP and tell the author.</t>
  </si>
  <si>
    <t>EasyTableOne deployed commit (given by author)</t>
  </si>
  <si>
    <t>b836577</t>
  </si>
  <si>
    <t>EasyTableOne ruleset version shown in About</t>
  </si>
  <si>
    <t>Dataset check: hf_comparison.csv SHA-256 matches README_FIRST? (yes/no)</t>
  </si>
  <si>
    <t>Dataset check: hf_guardrail_probe.csv SHA-256 matches? (yes/no)</t>
  </si>
  <si>
    <t>Optional freshness note (guide I.4): current CRAN/PyPI versions on the retest day, if newer than September's</t>
  </si>
  <si>
    <t>Notes</t>
  </si>
  <si>
    <t>Progress</t>
  </si>
  <si>
    <t>Results rows with a score</t>
  </si>
  <si>
    <t>Rows total</t>
  </si>
  <si>
    <t>Rows with a score but no observation (fix these)</t>
  </si>
  <si>
    <t>Rows with no screenshot</t>
  </si>
  <si>
    <t>tool</t>
  </si>
  <si>
    <t>interface_used</t>
  </si>
  <si>
    <t>criterion</t>
  </si>
  <si>
    <t>score</t>
  </si>
  <si>
    <t>what_you_did</t>
  </si>
  <si>
    <t>what_you_observed</t>
  </si>
  <si>
    <t>screenshot</t>
  </si>
  <si>
    <t>problem_or_error</t>
  </si>
  <si>
    <t>task (do this)</t>
  </si>
  <si>
    <t>scoring_rule</t>
  </si>
  <si>
    <t>R console</t>
  </si>
  <si>
    <t>C7</t>
  </si>
  <si>
    <t>See Tasks sheet, A1. Code: compareGroups(DEATH_EVENT ~ . - sex, data = d, method = NA) then strataTable(createTable(res7), "sex"). Fallback once: strata = factor(d$sex, labels=c("female","male")). Screenshot compareGroups_C7_r2.png.</t>
  </si>
  <si>
    <t>✓ DEATH_EVENT-by-sex table produced with package functions as documented; (✓) only the fallback worked (say which line); ✕ cannot be produced</t>
  </si>
  <si>
    <t>C5</t>
  </si>
  <si>
    <t>See Tasks sheet, A2. tbl_summary(by = ef_group, include = c(age, serum_creatinine)) |&gt; add_stat(fns = all_continuous() ~ pw) with the 4-line pw() function using pairwise.wilcox.test(p.adjust.method="holm"). Read pair labels from the printed matrix. Screenshot gtsummary_C5_r2.png.</t>
  </si>
  <si>
    <t>(✓) adjusted pairwise P values appear after your function; ✕ cannot be produced. Never ✓ (not produced by default)</t>
  </si>
  <si>
    <t>web app (live site)</t>
  </si>
  <si>
    <t>C1</t>
  </si>
  <si>
    <t>Read the privacy statement in the app (About, Help, FAQ). Then verify rather than read: open Chrome DevTools, Network tab, Preserve log, run an analysis on hf_comparison.csv, and list the hosts contacted after the page has loaded. The author's HAR from the browser tests (finishing plan, 1.7) can be cited instead of repeating this.  RECORD: the sentence from the app; the host list (expected only easyverse.app); score ✓ if no data leave the machine</t>
  </si>
  <si>
    <t>✓ everything runs on your machine; ✕ the data are uploaded</t>
  </si>
  <si>
    <t>C2</t>
  </si>
  <si>
    <t>Go to Format and export. List the journal cards shown and the ruleset version. Select two others and see the preview change.  RECORD: names of the presets; whether selection needed any code</t>
  </si>
  <si>
    <t>✓ selectable without code; (✓) needs code; ✕ none</t>
  </si>
  <si>
    <t>C3</t>
  </si>
  <si>
    <t>In Format and export, open Override individual settings. Set decimal precision to 3 and change one further option (thousand separator or P-value threshold). Watch the preview. If a label can be edited in this step, edit one; if labels are edited elsewhere (for example Variable types), say where and whether the preview then updates without re-running statistics.  RECORD: two screenshots, before and after, in which the decimal change is visible (the first round lacked this)</t>
  </si>
  <si>
    <t>✓ yes; (✓) options without preview; ✕ requires re-running code</t>
  </si>
  <si>
    <t>C4</t>
  </si>
  <si>
    <t>Import hf_guardrail_probe.csv, group by DEATH_EVENT, keep both probe columns. Note, verbatim and with the step where each appeared: (a) the 35% missingness message; (b) the sparse-cell / Fisher message for rare_category; (c) the message about level C (n = 3); (d) the multiplicity message about many P values. Note which messages need an acknowledgment before you can continue.  RECORD: four quoted messages, the step, screenshots</t>
  </si>
  <si>
    <t>✓ all of a–d shown; (✓) only some shown, or test changes silently; ✕ none</t>
  </si>
  <si>
    <t>Import hf_comparison.csv, group by ef_group (3 groups), run with defaults. Find the pairwise comparisons, the test used (name) and the multiplicity correction. Note any heteroscedasticity caveat shown (new in Phase 50, D103).  RECORD: where the pairwise results appear and how they are labelled</t>
  </si>
  <si>
    <t>✓ automatic; (✓) only with extra code/options; ✕ none</t>
  </si>
  <si>
    <t>C6</t>
  </si>
  <si>
    <t>In Format and export click Download All (.zip). Open MANIFEST.txt. Open the reproducibility JSON and the Python script; confirm the JSON holds the analysis state (plan, results) and no per-patient values, and that the script is runnable code. Recommended: run the script in a clean Python environment following its header comments and record whether it reproduces the table. Save the 3.19.0 JSON: it replaces the 3.18.0 JSON that is currently in the first-round folder.  RECORD: file names; what each contains; result of running the script</t>
  </si>
  <si>
    <t>✓ both; (✓) one; ✕ neither</t>
  </si>
  <si>
    <t>In Analysis plan try to choose a second grouping variable; look in Help/FAQ for stratified tables.  RECORD: what the selector allows; quote any FAQ statement</t>
  </si>
  <si>
    <t>✓ / (✓) / ✕</t>
  </si>
  <si>
    <t>C8</t>
  </si>
  <si>
    <t>Look in Analysis plan, Modeling (advanced options) and the FAQ for survey or propensity weights.  RECORD: where you looked; what you found</t>
  </si>
  <si>
    <t>C9</t>
  </si>
  <si>
    <t>Check README, Help and docs/ for a supported way to call EasyTableOne from code in a pipeline. The repository has developer documentation (docs/ARCHITECTURE.md, TypeDoc in docs/api), but that describes the internals, and the exported Python script is already scored under C6. Score ✕ unless the README or documentation describes scripted use as supported; quote what you found.  RECORD: quoted text and file names</t>
  </si>
  <si>
    <t>✓ / ✕</t>
  </si>
  <si>
    <t>E1</t>
  </si>
  <si>
    <t>See Tasks sheet, B2, and fill the E1_actions sheet as you go. One practice run, then reload and ONE counted run: hf_comparison.csv, exclude time and ef_group, group by DEATH_EVENT, defaults. Stop when the table with P values is on screen (Statistical review). Total in column F.</t>
  </si>
  <si>
    <t>A number (actions counted), not a symbol. Count every click incl. file-dialog clicks, selections, checkboxes, typed entries, welcome-dialog and acknowledgment clicks. Do not count export.</t>
  </si>
  <si>
    <t>E1 effort — the counted run. One row per action (click, selection, checkbox, typed entry). Add rows as needed; keep the numbering.</t>
  </si>
  <si>
    <t>Task: Import step, file not yet chosen → table by DEATH_EVENT with P values on screen (Statistical review). Exclude time and ef_group. Defaults everywhere else. Do not count scrolling, waiting, reading or exporting.</t>
  </si>
  <si>
    <t>#</t>
  </si>
  <si>
    <t>action (what you clicked / selected / typed)</t>
  </si>
  <si>
    <t>screen / step</t>
  </si>
  <si>
    <t>note</t>
  </si>
  <si>
    <t>Total actions (counted run)</t>
  </si>
  <si>
    <t>Journal preset active</t>
  </si>
  <si>
    <t>Stopping screen screenshot file</t>
  </si>
  <si>
    <t>Optional: actions through downloading the Word file</t>
  </si>
  <si>
    <t>Did the welcome dialog / acknowledgments appear? Which?</t>
  </si>
  <si>
    <t>ID</t>
  </si>
  <si>
    <t>What to do</t>
  </si>
  <si>
    <t>What to record</t>
  </si>
  <si>
    <t>A1 (compareGroups C7)</t>
  </si>
  <si>
    <t>R 4.5.0, compareGroups 4.10.4. library(compareGroups); R.version.string; packageVersion("compareGroups"); d &lt;- read.csv("hf_comparison.csv"); d$time &lt;- NULL; d$ef_group &lt;- NULL; res7 &lt;- compareGroups(DEATH_EVENT ~ . - sex, data = d, method = NA); strataTable(createTable(res7), "sex"). If it errors, once: strataTable(createTable(res7), strata = factor(d$sex, labels = c("female","male"))). Check warnings().</t>
  </si>
  <si>
    <t>Code you ran; whether a DEATH_EVENT table inside each sex appeared; exact error text; screenshot compareGroups_C7_r2.png</t>
  </si>
  <si>
    <t>A2 (gtsummary C5)</t>
  </si>
  <si>
    <t>R, gtsummary 2.6.1. library(gtsummary); library(dplyr); d3 &lt;- read.csv("hf_comparison.csv") |&gt; select(-time, -DEATH_EVENT, -ejection_fraction); pw &lt;- function(data, variable, by, ...) { p &lt;- pairwise.wilcox.test(data[[variable]], data[[by]], p.adjust.method = "holm")$p.value; print(p); dplyr::tibble(p12 = p[1, 1], p13 = p[2, 1], p23 = p[2, 2]) }; d3 |&gt; tbl_summary(by = ef_group, include = c(age, serum_creatinine)) |&gt; add_stat(fns = all_continuous() ~ pw)</t>
  </si>
  <si>
    <t>Whether pairwise Holm-adjusted P values are shown; pair labels read from the printed matrix (not from p12/p13/p23); exact error text; screenshot gtsummary_C5_r2.png</t>
  </si>
  <si>
    <t>EasyTableOne C1</t>
  </si>
  <si>
    <t>Read the privacy statement in the app (About, Help, FAQ). Then verify rather than read: open Chrome DevTools, Network tab, Preserve log, run an analysis on hf_comparison.csv, and list the hosts contacted after the page has loaded. The author's HAR from the browser tests (finishing plan, 1.7) can be cited instead of repeating this.</t>
  </si>
  <si>
    <t>the sentence from the app; the host list (expected only easyverse.app); score ✓ if no data leave the machine</t>
  </si>
  <si>
    <t>EasyTableOne C2</t>
  </si>
  <si>
    <t>Go to Format and export. List the journal cards shown and the ruleset version. Select two others and see the preview change.</t>
  </si>
  <si>
    <t>names of the presets; whether selection needed any code</t>
  </si>
  <si>
    <t>EasyTableOne C3</t>
  </si>
  <si>
    <t>In Format and export, open Override individual settings. Set decimal precision to 3 and change one further option (thousand separator or P-value threshold). Watch the preview. If a label can be edited in this step, edit one; if labels are edited elsewhere (for example Variable types), say where and whether the preview then updates without re-running statistics.</t>
  </si>
  <si>
    <t>two screenshots, before and after, in which the decimal change is visible (the first round lacked this)</t>
  </si>
  <si>
    <t>EasyTableOne C4</t>
  </si>
  <si>
    <t>Import hf_guardrail_probe.csv, group by DEATH_EVENT, keep both probe columns. Note, verbatim and with the step where each appeared: (a) the 35% missingness message; (b) the sparse-cell / Fisher message for rare_category; (c) the message about level C (n = 3); (d) the multiplicity message about many P values. Note which messages need an acknowledgment before you can continue.</t>
  </si>
  <si>
    <t>four quoted messages, the step, screenshots</t>
  </si>
  <si>
    <t>EasyTableOne C5</t>
  </si>
  <si>
    <t>Import hf_comparison.csv, group by ef_group (3 groups), run with defaults. Find the pairwise comparisons, the test used (name) and the multiplicity correction. Note any heteroscedasticity caveat shown (new in Phase 50, D103).</t>
  </si>
  <si>
    <t>where the pairwise results appear and how they are labelled</t>
  </si>
  <si>
    <t>EasyTableOne C6</t>
  </si>
  <si>
    <t>In Format and export click Download All (.zip). Open MANIFEST.txt. Open the reproducibility JSON and the Python script; confirm the JSON holds the analysis state (plan, results) and no per-patient values, and that the script is runnable code. Recommended: run the script in a clean Python environment following its header comments and record whether it reproduces the table. Save the 3.19.0 JSON: it replaces the 3.18.0 JSON that is currently in the first-round folder.</t>
  </si>
  <si>
    <t>file names; what each contains; result of running the script</t>
  </si>
  <si>
    <t>EasyTableOne C7</t>
  </si>
  <si>
    <t>In Analysis plan try to choose a second grouping variable; look in Help/FAQ for stratified tables.</t>
  </si>
  <si>
    <t>what the selector allows; quote any FAQ statement</t>
  </si>
  <si>
    <t>EasyTableOne C8</t>
  </si>
  <si>
    <t>Look in Analysis plan, Modeling (advanced options) and the FAQ for survey or propensity weights.</t>
  </si>
  <si>
    <t>where you looked; what you found</t>
  </si>
  <si>
    <t>EasyTableOne C9</t>
  </si>
  <si>
    <t>Check README, Help and docs/ for a supported way to call EasyTableOne from code in a pipeline. The repository has developer documentation (docs/ARCHITECTURE.md, TypeDoc in docs/api), but that describes the internals, and the exported Python script is already scored under C6. Score ✕ unless the README or documentation describes scripted use as supported; quote what you found.</t>
  </si>
  <si>
    <t>quoted text and file names</t>
  </si>
  <si>
    <t>EasyTableOne E1</t>
  </si>
  <si>
    <t>Rules (the same rule was applied to compareGroups GUI = 19 and TernTables web = 23 in round 1):
1. Do a free practice run first, then reload the page and do the counted run once, writing each action down as you do it.
2. Task: from the Import step with the file not yet chosen, produce the Heart Failure table by DEATH_EVENT with P values: use hf_comparison.csv; exclude time and ef_group; group by DEATH_EVENT. Leave the journal preset, the correction method and every other option at its default, and say which preset was active.
3. Count one action for each: click (including every click inside the operating-system file dialog: open picker, move into a folder, select the file, confirm Open), selection from a list, checkbox toggle, and typed entry (one per field, whatever its length). Count the welcome dialog dismissal and every "acknowledge / proceed" click that the app requires: being strict against ourselves is safer. Do not count scrolling, waiting, hovering or reading.
4. Stop when the formatted table with P values is on screen (Statistical review). Do not count exporting. If you want to report it, give "actions through downloading the Word file" as a second number, but the first number is the one that goes in Table 2 and the "[11]" placeholder of R1.2.
5. Record the numbered list of actions, the total, the preset active, and the stopping screen (EasyTableOne_E1_r2.png).
## I.4 Housekeeping
- Freshness note (5 min, optional but cheap): on the day of the retest record the current CRAN/PyPI version of each compared package and the TernTables web version. If any is newer than the version tested on 03/10/2026, add one sentence to S5a ("newer versions available on the retest date: …; scores refer to the versions tested") instead of re-scoring.
- Publishing the evidence is covered in the finishing plan, Part 4.1 (what to exclude and how to shrink the screenshots).
## I.5 What to send back and where it goes
Send: the filled retest sheet (xlsx), screenshots/, EasyTableOne_exports/, and the environment notes. The author then updates:
| Result | Lands in |
|---|---|
| compareGroups C7 | Table 2, compareGroups "Multiple strata" (response doc Appendix G, the [✓] cell); S5 observation text |
| gtsummary C5 | Table 2 "Post-hoc" for gtsummary ([(✓)]); R1.1 "[four]/[Two]"; S5 |
| EasyTableOne C1–C9 | Table 2 EasyTableOne row; S5 observations; S5a (version 3.19.0, ruleset, date, browser) |
| EasyTableOne E1 | Table 2 "Effort"; R1.2 "[11]"; the Table 2 footnote |
| the two R scoring calls (author) | Appendix G footnotes and the S5 scoring rules |
Anything that differs from the submitted Table 2 is listed in the reply to R1.1 as a changed score.
---
# Part II — Original protocol (28 Sep 2026, used for the 03/10/2026 test; unchanged)</t>
  </si>
  <si>
    <t>Numbered action list (E1_actions sheet), total, preset, stopping screen EasyTableOne_E1_r2.png</t>
  </si>
  <si>
    <t>Criterion</t>
  </si>
  <si>
    <t>How to test (September wording)</t>
  </si>
  <si>
    <t>Scoring rule</t>
  </si>
  <si>
    <t>Local only</t>
  </si>
  <si>
    <t>Does analysis require sending the data to a server?</t>
  </si>
  <si>
    <t>Journal styles</t>
  </si>
  <si>
    <t>Is there a named journal preset (NEJM, JAMA, Lancet...) you can select?</t>
  </si>
  <si>
    <t>Interactive preview</t>
  </si>
  <si>
    <t>Change decimals and a label: does the table re-render before export, without code?</t>
  </si>
  <si>
    <t>Guardrails</t>
  </si>
  <si>
    <t>Probe file by DEATH_EVENT. Does the tool tell you about (a) 35% missing, (b) sparse cells/Fisher, (c) tiny category C (n=3), (d) many variables tested / multiplicity?</t>
  </si>
  <si>
    <t>Post-hoc</t>
  </si>
  <si>
    <t>hf_comparison.csv by ef_group (3 groups): pairwise comparisons with multiplicity correction produced automatically?</t>
  </si>
  <si>
    <t>Reproducibility</t>
  </si>
  <si>
    <t>Does the tool emit BOTH a machine-readable record of the analysis state AND runnable code?</t>
  </si>
  <si>
    <t>Multiple strata</t>
  </si>
  <si>
    <t>Can you stratify by DEATH_EVENT and sex at once?</t>
  </si>
  <si>
    <t>Weighted data</t>
  </si>
  <si>
    <t>Support for survey or propensity-score weights?</t>
  </si>
  <si>
    <t>Scripting API</t>
  </si>
  <si>
    <t>Can it be called from code inside an analysis pipeline?</t>
  </si>
  <si>
    <t>Effort</t>
  </si>
  <si>
    <t>GUI tools: number of user actions (clicks, selections, typed entries). Code tools: non-blank, non-comment lines of code, excluding install lines.</t>
  </si>
  <si>
    <t>A number, not a symbol</t>
  </si>
  <si>
    <t>Vo Thuy An</t>
  </si>
  <si>
    <t>macOS Tahoe 26.6.2</t>
  </si>
  <si>
    <t>16 GB</t>
  </si>
  <si>
    <t>Google Chrome 153.0.8010.53 (arm64)</t>
  </si>
  <si>
    <t>R version 4.5.0 (2025-04-11)</t>
  </si>
  <si>
    <t>2025.05.0+496</t>
  </si>
  <si>
    <t>4.10.4</t>
  </si>
  <si>
    <t>2.6.1</t>
  </si>
  <si>
    <t>✓</t>
  </si>
  <si>
    <t>Ran the supplied A1 code with sex excluded from table rows, then checked warnings(). No fallback needed.</t>
  </si>
  <si>
    <t>Table produced with DEATH_EVENT groups within each sex stratum: sex=0, N=71/34; sex=1, N=132/62. P-values displayed. No error.</t>
  </si>
  <si>
    <t>compareGroups_C7_r2.png; compareGroups_C7_r2_warnings.png</t>
  </si>
  <si>
    <t>Warning messages:
1: In compare.i(X[, i], y = y, selec.i = selec[i], method.i = method[i],  :
  variable 'anaemia' converted to factor since few different values contained
2: In compare.i(X[, i], y = y, selec.i = selec[i], method.i = method[i],  :
  variable 'diabetes' converted to factor since few different values contained
3: In compare.i(X[, i], y = y, selec.i = selec[i], method.i = method[i],  :
  variable 'high_blood_pressure' converted to factor since few different values contained
4: In compare.i(X[, i], y = y, selec.i = selec[i], method.i = method[i],  :
  variable 'smoking' converted to factor since few different values contained
5: In chisq.test(xx, correct = FALSE) :
  Chi-squared approximation may be incorrect
6: In compare.i(X[, i], y = y, selec.i = selec[i], method.i = method[i],  :
  variable 'anaemia' converted to factor since few different values contained
7: In compare.i(X[, i], y = y, selec.i = selec[i], method.i = method[i],  :
  variable 'diabetes' converted to factor since few different values contained
8: In compare.i(X[, i], y = y, selec.i = selec[i], method.i = method[i],  :
  variable 'high_blood_pressure' converted to factor since few different values contained
9: In compare.i(X[, i], y = y, selec.i = selec[i], method.i = method[i],  :
  variable 'smoking' converted to factor since few different values contained</t>
  </si>
  <si>
    <t>(✓)</t>
  </si>
  <si>
    <t>Ran the supplied custom function using pairwise.wilcox.test with Holm adjustment, then added results with add_stat().</t>
  </si>
  <si>
    <t>gtsummary_C5_r2.png</t>
  </si>
  <si>
    <t>package ‘gtsummary’ was built under R version 4.5.2
package ‘dplyr’ was built under R version 4.5.2</t>
  </si>
  <si>
    <t>Holm-adjusted pairwise P-values appeared for age and serum_creatinine.
p12: EF&gt;=45 vs EF&lt;30; p13: EF30-44 vs EF&lt;30; p23: EF30-44 vs EF&gt;=45.
Extra custom code required. The guide describes the function as 4 lines; the saved function occupies 5 non-blank lines including the closing brace.</t>
  </si>
  <si>
    <t>Read About and monitored Network with Keep log enabled from CSV import through analysis, after clearing page-load requests.</t>
  </si>
  <si>
    <t>"Your data never leaves your computer; no server, no upload, no PHI ever transmitted." No network requests recorded during import and analysis; contacted hosts: none in this interval.</t>
  </si>
  <si>
    <t>EasyTableOne_B0_r2.png; EasyTableOne_C1_r2.png</t>
  </si>
  <si>
    <t>Listed journal cards and selected JAMA and The Lancet; checked preview changes.</t>
  </si>
  <si>
    <t>Presets: NEJM, JAMA, The Lancet, Nature Medicine, Standard/Generic. Ruleset 1.7. JAMA removed leading zeros from P-values; Lancet used middle-dot decimals and &lt;0·0001. Preview updated without code.</t>
  </si>
  <si>
    <t>EasyTableOne_C2_r2.png; EasyTableOne_C2_r2_JAMA.png; EasyTableOne_C2_r2_Lancet.png</t>
  </si>
  <si>
    <t>Set decimal precision to 3, disabled thousand separators, and changed age to Age (years) in Variable types.</t>
  </si>
  <si>
    <t>Preview updated decimals, separators and the label without rerunning statistics. Labels are edited in Variable types.</t>
  </si>
  <si>
    <t>EasyTableOne_C3_r2_before.png; EasyTableOne_C3_r2_after.png; EasyTableOne_C3_r2_label.png</t>
  </si>
  <si>
    <t>Ran hf_guardrail_probe.csv by DEATH_EVENT with both probe columns; excluded time and ef_group. Checked Data checks, Analysis plan and Statistical review.</t>
  </si>
  <si>
    <t>(a) Data checks: "Variable 'serum_sodium_35pct_missing' had 35.1% missingness." Acknowledgment required.
(b) Statistical review: "More than 20% of expected counts were below 5; sparse-table assumptions should be reviewed." "Fisher's exact P-value was estimated with seeded Monte Carlo sampling."
(c) Level C showed counts 0 and 3; no separate tiny-category message found.
(d) Analysis plan: "You are reporting 13 P-values with no multiple-testing correction." No acknowledgment required.</t>
  </si>
  <si>
    <t>EasyTableOne_C4_r2_a.png; EasyTableOne_C4_r2_b.png; EasyTableOne_C4_r2_d.png; EasyTableOne_C4_r2_table.png</t>
  </si>
  <si>
    <t>Ran hf_comparison.csv by ef_group with defaults; opened Post-hoc and show all pairs in Statistical Diagnostics.</t>
  </si>
  <si>
    <t>Automatic Dunn–Holm comparisons shown under each variable. For serum_creatinine: EF&lt;30 vs EF30-44, P=0.003; EF&lt;30 vs EF&gt;=45, P=0.004; EF30-44 vs EF&gt;=45, P=0.819. No heteroscedasticity caveat seen in the inspected output.</t>
  </si>
  <si>
    <t>Inspected MANIFEST.txt, reproducibility.json and analysis_history.py. Ran the unmodified script in a clean Python 3.13.3 environment with the listed library versions.</t>
  </si>
  <si>
    <t>JSON contains analysis state and aggregate results, with no patient-level records found. Script completed without errors; all 11 displayed P-values and categorical counts matched the export. It prints test results rather than rebuilding the formatted table.</t>
  </si>
  <si>
    <t>EasyTableOne_C6_r2.png</t>
  </si>
  <si>
    <t>✕</t>
  </si>
  <si>
    <t>Tried selecting sex alongside DEATH_EVENT; checked Help/FAQ for stratified tables.</t>
  </si>
  <si>
    <t>Selecting sex replaced DEATH_EVENT. Only one grouping variable allowed; no explicit FAQ statement on stratified tables found.</t>
  </si>
  <si>
    <t>EasyTableOne_C7_r2.png; EasyTableOne_C7_r2_sex.png</t>
  </si>
  <si>
    <t>Checked Analysis plan, Modeling advanced settings and FAQ for survey or propensity weights.</t>
  </si>
  <si>
    <t>No weighting controls found in the inspected settings. FAQ lists "complex survey weighting" among analyses the tool is not designed for.</t>
  </si>
  <si>
    <t>EasyTableOne_C8_r2_FAQ.png; EasyTableOne_C8_r2_validation.png</t>
  </si>
  <si>
    <t>Read README.md and Help; checked the linked repository for docs/.</t>
  </si>
  <si>
    <t>No supported scripted use found. README states the exported Python script "has no dependency on EasyTableOne".</t>
  </si>
  <si>
    <t>EasyTableOne_C9_r2_readme.png; EasyTableOne_C9_r2_exports.png; EasyTableOne_C9_r2_repo.png</t>
  </si>
  <si>
    <t>Required docs/ unavailable in linked repo (main, c974692; supplied deployed commit: b836577). Documentation check incomplete.</t>
  </si>
  <si>
    <t>Import</t>
  </si>
  <si>
    <t>Opened file picker</t>
  </si>
  <si>
    <t>Clicked Downloads</t>
  </si>
  <si>
    <t>File picker</t>
  </si>
  <si>
    <t>Selected Retest_package_2026-10 folder</t>
  </si>
  <si>
    <t>Opened selected folder</t>
  </si>
  <si>
    <t>Selected hf_comparison.csv</t>
  </si>
  <si>
    <t>Clicked Open</t>
  </si>
  <si>
    <t>Clicked Continue</t>
  </si>
  <si>
    <t>Study settings</t>
  </si>
  <si>
    <t>Clicked Looks right</t>
  </si>
  <si>
    <t>Header row</t>
  </si>
  <si>
    <t>Clicked Skip – continue to variable types</t>
  </si>
  <si>
    <t>Data dictionary</t>
  </si>
  <si>
    <t>Excluded time</t>
  </si>
  <si>
    <t>Variable types</t>
  </si>
  <si>
    <t>Excluded ef_group</t>
  </si>
  <si>
    <t>Clicked Proceed</t>
  </si>
  <si>
    <t>Clicked Proceed to Analysis plan</t>
  </si>
  <si>
    <t>Data checks</t>
  </si>
  <si>
    <t>Opened Grouping Variable dropdown</t>
  </si>
  <si>
    <t>Analysis plan</t>
  </si>
  <si>
    <t>Selected DEATH_EVENT</t>
  </si>
  <si>
    <t>Clicked Run Statistics</t>
  </si>
  <si>
    <t>NEJM</t>
  </si>
  <si>
    <t>EasyTableOne_E1_r2.png</t>
  </si>
  <si>
    <t>Not performed</t>
  </si>
  <si>
    <t>Counted a second run from file selection to Statistical review.</t>
  </si>
  <si>
    <t>16 actions to generate an 11-variable table with P-values.</t>
  </si>
  <si>
    <t>EasyTableOne_C5_r2.png; EasyTableOne_C5_r2_pairs.png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</si>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</sst>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164" fontId="0" fillId="3" borderId="1" xfId="0" applyNumberFormat="1" applyFill="1" applyBorder="1"/>
    <xf numFmtId="0" fontId="0" fillId="3" borderId="1" xfId="0" applyFill="1" applyBorder="1" applyAlignment="1">
      <alignment vertical="top" wrapText="1"/>
    </xf>
    <xf numFmtId="0" fontId="4" fillId="0" borderId="0" xfId="0" applyFont="1"/>
    <xf numFmtId="0" fontId="0" fillId="2" borderId="0" xfId="0" applyFill="1"/>
    <xf numFmtId="0" fontId="0" fillId="3" borderId="0" xfId="0" applyFill="1"/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4" fontId="0" fillId="3" borderId="1" xfId="0" applyNumberFormat="1" applyFill="1" applyBorder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ht="20" x14ac:dyDescent="0.2">
      <c r="A1" s="1" t="s">
        <v>0</v>
      </c>
    </row>
    <row r="2" spans="1:1" ht="16" x14ac:dyDescent="0.2">
      <c r="A2" s="2" t="s">
        <v>1</v>
      </c>
    </row>
    <row r="3" spans="1:1" x14ac:dyDescent="0.2">
      <c r="A3" s="2"/>
    </row>
    <row r="4" spans="1:1" ht="16" x14ac:dyDescent="0.2">
      <c r="A4" s="2" t="s">
        <v>2</v>
      </c>
    </row>
    <row r="5" spans="1:1" ht="32" x14ac:dyDescent="0.2">
      <c r="A5" s="2" t="s">
        <v>3</v>
      </c>
    </row>
    <row r="6" spans="1:1" ht="16" x14ac:dyDescent="0.2">
      <c r="A6" s="2" t="s">
        <v>4</v>
      </c>
    </row>
    <row r="7" spans="1:1" ht="32" x14ac:dyDescent="0.2">
      <c r="A7" s="2" t="s">
        <v>5</v>
      </c>
    </row>
    <row r="8" spans="1:1" ht="16" x14ac:dyDescent="0.2">
      <c r="A8" s="2" t="s">
        <v>6</v>
      </c>
    </row>
    <row r="9" spans="1:1" ht="16" x14ac:dyDescent="0.2">
      <c r="A9" s="2" t="s">
        <v>7</v>
      </c>
    </row>
    <row r="10" spans="1:1" ht="16" x14ac:dyDescent="0.2">
      <c r="A10" s="2" t="s">
        <v>8</v>
      </c>
    </row>
    <row r="11" spans="1:1" ht="16" x14ac:dyDescent="0.2">
      <c r="A11" s="2" t="s">
        <v>9</v>
      </c>
    </row>
    <row r="12" spans="1:1" ht="16" x14ac:dyDescent="0.2">
      <c r="A12" s="2" t="s">
        <v>10</v>
      </c>
    </row>
    <row r="13" spans="1:1" x14ac:dyDescent="0.2">
      <c r="A13" s="2"/>
    </row>
    <row r="14" spans="1:1" ht="32" x14ac:dyDescent="0.2">
      <c r="A14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zoomScale="140" workbookViewId="0">
      <selection activeCell="B19" sqref="B19"/>
    </sheetView>
  </sheetViews>
  <sheetFormatPr baseColWidth="10" defaultColWidth="8.83203125" defaultRowHeight="15" x14ac:dyDescent="0.2"/>
  <cols>
    <col min="1" max="1" width="48" customWidth="1"/>
    <col min="2" max="2" width="34" customWidth="1"/>
    <col min="3" max="3" width="60" customWidth="1"/>
    <col min="4" max="4" width="18" customWidth="1"/>
  </cols>
  <sheetData>
    <row r="1" spans="1:4" ht="16" x14ac:dyDescent="0.2">
      <c r="A1" s="3" t="s">
        <v>12</v>
      </c>
    </row>
    <row r="2" spans="1:4" x14ac:dyDescent="0.2">
      <c r="A2" s="4" t="s">
        <v>13</v>
      </c>
      <c r="B2" s="5" t="s">
        <v>163</v>
      </c>
    </row>
    <row r="3" spans="1:4" x14ac:dyDescent="0.2">
      <c r="A3" s="4" t="s">
        <v>14</v>
      </c>
      <c r="B3" s="5" t="s">
        <v>164</v>
      </c>
    </row>
    <row r="4" spans="1:4" x14ac:dyDescent="0.2">
      <c r="A4" s="4" t="s">
        <v>15</v>
      </c>
      <c r="B4" s="5" t="s">
        <v>165</v>
      </c>
    </row>
    <row r="5" spans="1:4" x14ac:dyDescent="0.2">
      <c r="A5" s="4" t="s">
        <v>16</v>
      </c>
      <c r="B5" s="5" t="s">
        <v>166</v>
      </c>
    </row>
    <row r="6" spans="1:4" x14ac:dyDescent="0.2">
      <c r="A6" s="4" t="s">
        <v>17</v>
      </c>
      <c r="B6" s="5" t="s">
        <v>167</v>
      </c>
    </row>
    <row r="7" spans="1:4" x14ac:dyDescent="0.2">
      <c r="A7" s="4" t="s">
        <v>18</v>
      </c>
      <c r="B7" s="5" t="s">
        <v>168</v>
      </c>
    </row>
    <row r="8" spans="1:4" x14ac:dyDescent="0.2">
      <c r="A8" s="4" t="s">
        <v>19</v>
      </c>
      <c r="B8" s="16">
        <v>46310</v>
      </c>
    </row>
    <row r="10" spans="1:4" ht="16" x14ac:dyDescent="0.2">
      <c r="A10" s="3" t="s">
        <v>20</v>
      </c>
    </row>
    <row r="11" spans="1:4" ht="16" x14ac:dyDescent="0.2">
      <c r="A11" s="6" t="s">
        <v>21</v>
      </c>
      <c r="B11" s="6" t="s">
        <v>22</v>
      </c>
      <c r="C11" s="6" t="s">
        <v>23</v>
      </c>
      <c r="D11" s="6" t="s">
        <v>24</v>
      </c>
    </row>
    <row r="12" spans="1:4" ht="32" x14ac:dyDescent="0.2">
      <c r="A12" s="4" t="s">
        <v>25</v>
      </c>
      <c r="B12" s="5" t="s">
        <v>169</v>
      </c>
      <c r="C12" s="7" t="s">
        <v>26</v>
      </c>
      <c r="D12" s="8">
        <v>46310</v>
      </c>
    </row>
    <row r="13" spans="1:4" ht="16" x14ac:dyDescent="0.2">
      <c r="A13" s="4" t="s">
        <v>27</v>
      </c>
      <c r="B13" s="5" t="s">
        <v>170</v>
      </c>
      <c r="C13" s="7" t="s">
        <v>28</v>
      </c>
      <c r="D13" s="8">
        <v>46310</v>
      </c>
    </row>
    <row r="14" spans="1:4" ht="32" x14ac:dyDescent="0.2">
      <c r="A14" s="4" t="s">
        <v>29</v>
      </c>
      <c r="B14" s="4" t="s">
        <v>30</v>
      </c>
      <c r="C14" s="7" t="s">
        <v>31</v>
      </c>
      <c r="D14" s="8">
        <v>46310</v>
      </c>
    </row>
    <row r="15" spans="1:4" ht="16" x14ac:dyDescent="0.2">
      <c r="A15" s="7" t="s">
        <v>32</v>
      </c>
      <c r="B15" s="7" t="s">
        <v>33</v>
      </c>
    </row>
    <row r="16" spans="1:4" ht="16" x14ac:dyDescent="0.2">
      <c r="A16" s="7" t="s">
        <v>34</v>
      </c>
      <c r="B16" s="9">
        <v>1.7</v>
      </c>
    </row>
    <row r="17" spans="1:2" ht="32" x14ac:dyDescent="0.2">
      <c r="A17" s="7" t="s">
        <v>35</v>
      </c>
      <c r="B17" s="9" t="s">
        <v>239</v>
      </c>
    </row>
    <row r="18" spans="1:2" ht="32" x14ac:dyDescent="0.2">
      <c r="A18" s="7" t="s">
        <v>36</v>
      </c>
      <c r="B18" s="9" t="s">
        <v>239</v>
      </c>
    </row>
    <row r="20" spans="1:2" x14ac:dyDescent="0.2">
      <c r="A20" s="10" t="s">
        <v>37</v>
      </c>
    </row>
    <row r="21" spans="1:2" x14ac:dyDescent="0.2">
      <c r="A21" s="11" t="s">
        <v>38</v>
      </c>
      <c r="B21" s="12"/>
    </row>
    <row r="23" spans="1:2" ht="16" x14ac:dyDescent="0.2">
      <c r="A23" s="3" t="s">
        <v>39</v>
      </c>
    </row>
    <row r="24" spans="1:2" x14ac:dyDescent="0.2">
      <c r="A24" t="s">
        <v>40</v>
      </c>
      <c r="B24">
        <f>COUNTA(Results!F2:F13)</f>
        <v>12</v>
      </c>
    </row>
    <row r="25" spans="1:2" x14ac:dyDescent="0.2">
      <c r="A25" t="s">
        <v>41</v>
      </c>
      <c r="B25">
        <v>12</v>
      </c>
    </row>
    <row r="26" spans="1:2" x14ac:dyDescent="0.2">
      <c r="A26" t="s">
        <v>42</v>
      </c>
      <c r="B26">
        <f>COUNTIFS(Results!F2:F13,"&lt;&gt;",Results!H2:H13,"")</f>
        <v>0</v>
      </c>
    </row>
    <row r="27" spans="1:2" x14ac:dyDescent="0.2">
      <c r="A27" t="s">
        <v>43</v>
      </c>
      <c r="B27">
        <f>COUNTBLANK(Results!I2:I13)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I8" sqref="I8"/>
    </sheetView>
  </sheetViews>
  <sheetFormatPr baseColWidth="10" defaultColWidth="8.83203125" defaultRowHeight="15" x14ac:dyDescent="0.2"/>
  <cols>
    <col min="1" max="1" width="15" customWidth="1"/>
    <col min="2" max="2" width="12" customWidth="1"/>
    <col min="3" max="3" width="13" customWidth="1"/>
    <col min="4" max="4" width="20" customWidth="1"/>
    <col min="5" max="6" width="10" customWidth="1"/>
    <col min="7" max="7" width="45" customWidth="1"/>
    <col min="8" max="8" width="60" customWidth="1"/>
    <col min="9" max="9" width="28" customWidth="1"/>
    <col min="10" max="10" width="32" customWidth="1"/>
    <col min="11" max="11" width="70" customWidth="1"/>
    <col min="12" max="12" width="42" customWidth="1"/>
  </cols>
  <sheetData>
    <row r="1" spans="1:12" ht="30" customHeight="1" x14ac:dyDescent="0.2">
      <c r="A1" s="6" t="s">
        <v>44</v>
      </c>
      <c r="B1" s="6" t="s">
        <v>22</v>
      </c>
      <c r="C1" s="6" t="s">
        <v>24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</row>
    <row r="2" spans="1:12" ht="85" customHeight="1" x14ac:dyDescent="0.2">
      <c r="A2" s="7" t="s">
        <v>25</v>
      </c>
      <c r="B2" s="9" t="s">
        <v>169</v>
      </c>
      <c r="C2" s="13">
        <v>46310</v>
      </c>
      <c r="D2" s="7" t="s">
        <v>54</v>
      </c>
      <c r="E2" s="7" t="s">
        <v>55</v>
      </c>
      <c r="F2" s="9" t="s">
        <v>171</v>
      </c>
      <c r="G2" s="9" t="s">
        <v>172</v>
      </c>
      <c r="H2" s="9" t="s">
        <v>173</v>
      </c>
      <c r="I2" s="9" t="s">
        <v>174</v>
      </c>
      <c r="J2" s="9" t="s">
        <v>175</v>
      </c>
      <c r="K2" s="7" t="s">
        <v>56</v>
      </c>
      <c r="L2" s="7" t="s">
        <v>57</v>
      </c>
    </row>
    <row r="3" spans="1:12" ht="100" customHeight="1" x14ac:dyDescent="0.2">
      <c r="A3" s="7" t="s">
        <v>27</v>
      </c>
      <c r="B3" s="9" t="s">
        <v>170</v>
      </c>
      <c r="C3" s="13">
        <v>46310</v>
      </c>
      <c r="D3" s="7" t="s">
        <v>54</v>
      </c>
      <c r="E3" s="7" t="s">
        <v>58</v>
      </c>
      <c r="F3" s="9" t="s">
        <v>176</v>
      </c>
      <c r="G3" s="9" t="s">
        <v>177</v>
      </c>
      <c r="H3" s="9" t="s">
        <v>180</v>
      </c>
      <c r="I3" s="9" t="s">
        <v>178</v>
      </c>
      <c r="J3" s="9" t="s">
        <v>179</v>
      </c>
      <c r="K3" s="7" t="s">
        <v>59</v>
      </c>
      <c r="L3" s="7" t="s">
        <v>60</v>
      </c>
    </row>
    <row r="4" spans="1:12" ht="145" customHeight="1" x14ac:dyDescent="0.2">
      <c r="A4" s="7" t="s">
        <v>29</v>
      </c>
      <c r="B4" s="7" t="s">
        <v>30</v>
      </c>
      <c r="C4" s="13">
        <v>46310</v>
      </c>
      <c r="D4" s="7" t="s">
        <v>61</v>
      </c>
      <c r="E4" s="7" t="s">
        <v>62</v>
      </c>
      <c r="F4" s="9" t="s">
        <v>171</v>
      </c>
      <c r="G4" s="9" t="s">
        <v>181</v>
      </c>
      <c r="H4" s="9" t="s">
        <v>182</v>
      </c>
      <c r="I4" s="9" t="s">
        <v>183</v>
      </c>
      <c r="J4" s="9"/>
      <c r="K4" s="7" t="s">
        <v>63</v>
      </c>
      <c r="L4" s="7" t="s">
        <v>64</v>
      </c>
    </row>
    <row r="5" spans="1:12" ht="85" customHeight="1" x14ac:dyDescent="0.2">
      <c r="A5" s="7" t="s">
        <v>29</v>
      </c>
      <c r="B5" s="7" t="s">
        <v>30</v>
      </c>
      <c r="C5" s="13">
        <v>46310</v>
      </c>
      <c r="D5" s="7" t="s">
        <v>61</v>
      </c>
      <c r="E5" s="7" t="s">
        <v>65</v>
      </c>
      <c r="F5" s="9" t="s">
        <v>171</v>
      </c>
      <c r="G5" s="9" t="s">
        <v>184</v>
      </c>
      <c r="H5" s="9" t="s">
        <v>185</v>
      </c>
      <c r="I5" s="9" t="s">
        <v>186</v>
      </c>
      <c r="J5" s="9"/>
      <c r="K5" s="7" t="s">
        <v>66</v>
      </c>
      <c r="L5" s="7" t="s">
        <v>67</v>
      </c>
    </row>
    <row r="6" spans="1:12" ht="145" customHeight="1" x14ac:dyDescent="0.2">
      <c r="A6" s="7" t="s">
        <v>29</v>
      </c>
      <c r="B6" s="7" t="s">
        <v>30</v>
      </c>
      <c r="C6" s="13">
        <v>46310</v>
      </c>
      <c r="D6" s="7" t="s">
        <v>61</v>
      </c>
      <c r="E6" s="7" t="s">
        <v>68</v>
      </c>
      <c r="F6" s="9" t="s">
        <v>171</v>
      </c>
      <c r="G6" s="9" t="s">
        <v>187</v>
      </c>
      <c r="H6" s="9" t="s">
        <v>188</v>
      </c>
      <c r="I6" s="9" t="s">
        <v>189</v>
      </c>
      <c r="J6" s="9"/>
      <c r="K6" s="7" t="s">
        <v>69</v>
      </c>
      <c r="L6" s="7" t="s">
        <v>70</v>
      </c>
    </row>
    <row r="7" spans="1:12" ht="130" customHeight="1" x14ac:dyDescent="0.2">
      <c r="A7" s="7" t="s">
        <v>29</v>
      </c>
      <c r="B7" s="7" t="s">
        <v>30</v>
      </c>
      <c r="C7" s="13">
        <v>46310</v>
      </c>
      <c r="D7" s="7" t="s">
        <v>61</v>
      </c>
      <c r="E7" s="7" t="s">
        <v>71</v>
      </c>
      <c r="F7" s="9" t="s">
        <v>176</v>
      </c>
      <c r="G7" s="9" t="s">
        <v>190</v>
      </c>
      <c r="H7" s="9" t="s">
        <v>191</v>
      </c>
      <c r="I7" s="9" t="s">
        <v>192</v>
      </c>
      <c r="J7" s="9"/>
      <c r="K7" s="7" t="s">
        <v>72</v>
      </c>
      <c r="L7" s="7" t="s">
        <v>73</v>
      </c>
    </row>
    <row r="8" spans="1:12" ht="100" customHeight="1" x14ac:dyDescent="0.2">
      <c r="A8" s="7" t="s">
        <v>29</v>
      </c>
      <c r="B8" s="7" t="s">
        <v>30</v>
      </c>
      <c r="C8" s="13">
        <v>46310</v>
      </c>
      <c r="D8" s="7" t="s">
        <v>61</v>
      </c>
      <c r="E8" s="7" t="s">
        <v>58</v>
      </c>
      <c r="F8" s="9" t="s">
        <v>171</v>
      </c>
      <c r="G8" s="9" t="s">
        <v>193</v>
      </c>
      <c r="H8" s="9" t="s">
        <v>194</v>
      </c>
      <c r="I8" s="9" t="s">
        <v>238</v>
      </c>
      <c r="J8" s="9"/>
      <c r="K8" s="7" t="s">
        <v>74</v>
      </c>
      <c r="L8" s="7" t="s">
        <v>75</v>
      </c>
    </row>
    <row r="9" spans="1:12" ht="160" customHeight="1" x14ac:dyDescent="0.2">
      <c r="A9" s="7" t="s">
        <v>29</v>
      </c>
      <c r="B9" s="7" t="s">
        <v>30</v>
      </c>
      <c r="C9" s="13">
        <v>46310</v>
      </c>
      <c r="D9" s="7" t="s">
        <v>61</v>
      </c>
      <c r="E9" s="7" t="s">
        <v>76</v>
      </c>
      <c r="F9" s="9" t="s">
        <v>171</v>
      </c>
      <c r="G9" s="9" t="s">
        <v>195</v>
      </c>
      <c r="H9" s="9" t="s">
        <v>196</v>
      </c>
      <c r="I9" s="9" t="s">
        <v>197</v>
      </c>
      <c r="J9" s="9"/>
      <c r="K9" s="7" t="s">
        <v>77</v>
      </c>
      <c r="L9" s="7" t="s">
        <v>78</v>
      </c>
    </row>
    <row r="10" spans="1:12" ht="70" customHeight="1" x14ac:dyDescent="0.2">
      <c r="A10" s="7" t="s">
        <v>29</v>
      </c>
      <c r="B10" s="7" t="s">
        <v>30</v>
      </c>
      <c r="C10" s="13">
        <v>46310</v>
      </c>
      <c r="D10" s="7" t="s">
        <v>61</v>
      </c>
      <c r="E10" s="7" t="s">
        <v>55</v>
      </c>
      <c r="F10" s="9" t="s">
        <v>198</v>
      </c>
      <c r="G10" s="9" t="s">
        <v>199</v>
      </c>
      <c r="H10" s="9" t="s">
        <v>200</v>
      </c>
      <c r="I10" s="9" t="s">
        <v>201</v>
      </c>
      <c r="J10" s="9"/>
      <c r="K10" s="7" t="s">
        <v>79</v>
      </c>
      <c r="L10" s="7" t="s">
        <v>80</v>
      </c>
    </row>
    <row r="11" spans="1:12" ht="70" customHeight="1" x14ac:dyDescent="0.2">
      <c r="A11" s="7" t="s">
        <v>29</v>
      </c>
      <c r="B11" s="7" t="s">
        <v>30</v>
      </c>
      <c r="C11" s="13">
        <v>46310</v>
      </c>
      <c r="D11" s="7" t="s">
        <v>61</v>
      </c>
      <c r="E11" s="7" t="s">
        <v>81</v>
      </c>
      <c r="F11" s="9" t="s">
        <v>198</v>
      </c>
      <c r="G11" s="9" t="s">
        <v>202</v>
      </c>
      <c r="H11" s="9" t="s">
        <v>203</v>
      </c>
      <c r="I11" s="9" t="s">
        <v>204</v>
      </c>
      <c r="J11" s="9"/>
      <c r="K11" s="7" t="s">
        <v>82</v>
      </c>
      <c r="L11" s="7" t="s">
        <v>80</v>
      </c>
    </row>
    <row r="12" spans="1:12" ht="130" customHeight="1" x14ac:dyDescent="0.2">
      <c r="A12" s="7" t="s">
        <v>29</v>
      </c>
      <c r="B12" s="7" t="s">
        <v>30</v>
      </c>
      <c r="C12" s="13">
        <v>46310</v>
      </c>
      <c r="D12" s="7" t="s">
        <v>61</v>
      </c>
      <c r="E12" s="7" t="s">
        <v>83</v>
      </c>
      <c r="F12" s="9" t="s">
        <v>198</v>
      </c>
      <c r="G12" s="9" t="s">
        <v>205</v>
      </c>
      <c r="H12" s="9" t="s">
        <v>206</v>
      </c>
      <c r="I12" s="9" t="s">
        <v>207</v>
      </c>
      <c r="J12" s="9" t="s">
        <v>208</v>
      </c>
      <c r="K12" s="7" t="s">
        <v>84</v>
      </c>
      <c r="L12" s="7" t="s">
        <v>85</v>
      </c>
    </row>
    <row r="13" spans="1:12" ht="100" customHeight="1" x14ac:dyDescent="0.2">
      <c r="A13" s="7" t="s">
        <v>29</v>
      </c>
      <c r="B13" s="7" t="s">
        <v>30</v>
      </c>
      <c r="C13" s="13">
        <v>46310</v>
      </c>
      <c r="D13" s="7" t="s">
        <v>61</v>
      </c>
      <c r="E13" s="7" t="s">
        <v>86</v>
      </c>
      <c r="F13" s="9">
        <v>16</v>
      </c>
      <c r="G13" s="9" t="s">
        <v>236</v>
      </c>
      <c r="H13" s="9" t="s">
        <v>237</v>
      </c>
      <c r="I13" s="9" t="s">
        <v>234</v>
      </c>
      <c r="J13" s="9"/>
      <c r="K13" s="7" t="s">
        <v>87</v>
      </c>
      <c r="L13" s="7" t="s">
        <v>88</v>
      </c>
    </row>
  </sheetData>
  <conditionalFormatting sqref="H2:H13">
    <cfRule type="expression" dxfId="0" priority="1">
      <formula>AND($F2&lt;&gt;"",$H2="")</formula>
    </cfRule>
  </conditionalFormatting>
  <dataValidations count="1">
    <dataValidation type="list" allowBlank="1" sqref="F2:F12" xr:uid="{00000000-0002-0000-0200-000000000000}">
      <formula1>"✓,(✓),✕,ERROR"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>
      <selection activeCell="F20" sqref="F20"/>
    </sheetView>
  </sheetViews>
  <sheetFormatPr baseColWidth="10" defaultColWidth="8.83203125" defaultRowHeight="15" x14ac:dyDescent="0.2"/>
  <cols>
    <col min="1" max="1" width="8" customWidth="1"/>
    <col min="2" max="2" width="80" customWidth="1"/>
    <col min="3" max="3" width="32.1640625" bestFit="1" customWidth="1"/>
    <col min="4" max="4" width="40" customWidth="1"/>
    <col min="6" max="6" width="48" customWidth="1"/>
    <col min="7" max="7" width="36" customWidth="1"/>
  </cols>
  <sheetData>
    <row r="1" spans="1:7" x14ac:dyDescent="0.2">
      <c r="A1" s="10" t="s">
        <v>89</v>
      </c>
    </row>
    <row r="2" spans="1:7" ht="32" customHeight="1" x14ac:dyDescent="0.2">
      <c r="A2" s="17" t="s">
        <v>90</v>
      </c>
      <c r="B2" s="18"/>
      <c r="C2" s="18"/>
      <c r="D2" s="18"/>
    </row>
    <row r="4" spans="1:7" ht="16" x14ac:dyDescent="0.2">
      <c r="A4" s="6" t="s">
        <v>91</v>
      </c>
      <c r="B4" s="6" t="s">
        <v>92</v>
      </c>
      <c r="C4" s="6" t="s">
        <v>93</v>
      </c>
      <c r="D4" s="6" t="s">
        <v>94</v>
      </c>
      <c r="F4" s="7" t="s">
        <v>95</v>
      </c>
      <c r="G4" s="14">
        <f>COUNTA(B5:B44)</f>
        <v>16</v>
      </c>
    </row>
    <row r="5" spans="1:7" ht="16" x14ac:dyDescent="0.2">
      <c r="A5" s="4">
        <v>1</v>
      </c>
      <c r="B5" s="5" t="s">
        <v>210</v>
      </c>
      <c r="C5" s="5" t="s">
        <v>209</v>
      </c>
      <c r="D5" s="5"/>
      <c r="F5" s="7" t="s">
        <v>96</v>
      </c>
      <c r="G5" s="5" t="s">
        <v>233</v>
      </c>
    </row>
    <row r="6" spans="1:7" ht="16" x14ac:dyDescent="0.2">
      <c r="A6" s="4">
        <v>2</v>
      </c>
      <c r="B6" s="5" t="s">
        <v>211</v>
      </c>
      <c r="C6" s="5" t="s">
        <v>212</v>
      </c>
      <c r="D6" s="5"/>
      <c r="F6" s="7" t="s">
        <v>97</v>
      </c>
      <c r="G6" s="5" t="s">
        <v>234</v>
      </c>
    </row>
    <row r="7" spans="1:7" ht="16" x14ac:dyDescent="0.2">
      <c r="A7" s="4">
        <v>3</v>
      </c>
      <c r="B7" s="5" t="s">
        <v>213</v>
      </c>
      <c r="C7" s="5" t="s">
        <v>212</v>
      </c>
      <c r="D7" s="5"/>
      <c r="F7" s="7" t="s">
        <v>98</v>
      </c>
      <c r="G7" s="5" t="s">
        <v>235</v>
      </c>
    </row>
    <row r="8" spans="1:7" ht="16" x14ac:dyDescent="0.2">
      <c r="A8" s="4">
        <v>4</v>
      </c>
      <c r="B8" s="5" t="s">
        <v>214</v>
      </c>
      <c r="C8" s="5" t="s">
        <v>212</v>
      </c>
      <c r="D8" s="5"/>
      <c r="F8" s="7" t="s">
        <v>99</v>
      </c>
      <c r="G8" s="5">
        <v>0</v>
      </c>
    </row>
    <row r="9" spans="1:7" x14ac:dyDescent="0.2">
      <c r="A9" s="4">
        <v>5</v>
      </c>
      <c r="B9" s="5" t="s">
        <v>215</v>
      </c>
      <c r="C9" s="5" t="s">
        <v>212</v>
      </c>
      <c r="D9" s="5"/>
    </row>
    <row r="10" spans="1:7" x14ac:dyDescent="0.2">
      <c r="A10" s="4">
        <v>6</v>
      </c>
      <c r="B10" s="5" t="s">
        <v>216</v>
      </c>
      <c r="C10" s="5" t="s">
        <v>212</v>
      </c>
      <c r="D10" s="5"/>
    </row>
    <row r="11" spans="1:7" x14ac:dyDescent="0.2">
      <c r="A11" s="4">
        <v>7</v>
      </c>
      <c r="B11" s="5" t="s">
        <v>217</v>
      </c>
      <c r="C11" s="5" t="s">
        <v>218</v>
      </c>
      <c r="D11" s="5"/>
    </row>
    <row r="12" spans="1:7" x14ac:dyDescent="0.2">
      <c r="A12" s="4">
        <v>8</v>
      </c>
      <c r="B12" s="5" t="s">
        <v>219</v>
      </c>
      <c r="C12" s="5" t="s">
        <v>220</v>
      </c>
      <c r="D12" s="5"/>
    </row>
    <row r="13" spans="1:7" x14ac:dyDescent="0.2">
      <c r="A13" s="4">
        <v>9</v>
      </c>
      <c r="B13" s="5" t="s">
        <v>221</v>
      </c>
      <c r="C13" s="5" t="s">
        <v>222</v>
      </c>
      <c r="D13" s="5"/>
    </row>
    <row r="14" spans="1:7" x14ac:dyDescent="0.2">
      <c r="A14" s="4">
        <v>10</v>
      </c>
      <c r="B14" s="5" t="s">
        <v>223</v>
      </c>
      <c r="C14" s="5" t="s">
        <v>224</v>
      </c>
      <c r="D14" s="5"/>
    </row>
    <row r="15" spans="1:7" x14ac:dyDescent="0.2">
      <c r="A15" s="4">
        <v>11</v>
      </c>
      <c r="B15" s="5" t="s">
        <v>225</v>
      </c>
      <c r="C15" s="5" t="s">
        <v>224</v>
      </c>
      <c r="D15" s="5"/>
    </row>
    <row r="16" spans="1:7" x14ac:dyDescent="0.2">
      <c r="A16" s="4">
        <v>12</v>
      </c>
      <c r="B16" s="5" t="s">
        <v>226</v>
      </c>
      <c r="C16" s="5" t="s">
        <v>224</v>
      </c>
      <c r="D16" s="5"/>
    </row>
    <row r="17" spans="1:4" x14ac:dyDescent="0.2">
      <c r="A17" s="4">
        <v>13</v>
      </c>
      <c r="B17" s="5" t="s">
        <v>227</v>
      </c>
      <c r="C17" s="5" t="s">
        <v>228</v>
      </c>
      <c r="D17" s="5"/>
    </row>
    <row r="18" spans="1:4" x14ac:dyDescent="0.2">
      <c r="A18" s="4">
        <v>14</v>
      </c>
      <c r="B18" s="5" t="s">
        <v>229</v>
      </c>
      <c r="C18" s="5" t="s">
        <v>230</v>
      </c>
      <c r="D18" s="5"/>
    </row>
    <row r="19" spans="1:4" x14ac:dyDescent="0.2">
      <c r="A19" s="4">
        <v>15</v>
      </c>
      <c r="B19" s="5" t="s">
        <v>231</v>
      </c>
      <c r="C19" s="5" t="s">
        <v>230</v>
      </c>
      <c r="D19" s="5"/>
    </row>
    <row r="20" spans="1:4" x14ac:dyDescent="0.2">
      <c r="A20" s="4">
        <v>16</v>
      </c>
      <c r="B20" s="5" t="s">
        <v>232</v>
      </c>
      <c r="C20" s="5" t="s">
        <v>230</v>
      </c>
      <c r="D20" s="5"/>
    </row>
    <row r="21" spans="1:4" x14ac:dyDescent="0.2">
      <c r="A21" s="4">
        <v>17</v>
      </c>
      <c r="B21" s="5"/>
      <c r="C21" s="5"/>
      <c r="D21" s="5"/>
    </row>
    <row r="22" spans="1:4" x14ac:dyDescent="0.2">
      <c r="A22" s="4">
        <v>18</v>
      </c>
      <c r="B22" s="5"/>
      <c r="C22" s="5"/>
      <c r="D22" s="5"/>
    </row>
    <row r="23" spans="1:4" x14ac:dyDescent="0.2">
      <c r="A23" s="4">
        <v>19</v>
      </c>
      <c r="B23" s="5"/>
      <c r="C23" s="5"/>
      <c r="D23" s="5"/>
    </row>
    <row r="24" spans="1:4" x14ac:dyDescent="0.2">
      <c r="A24" s="4">
        <v>20</v>
      </c>
      <c r="B24" s="5"/>
      <c r="C24" s="5"/>
      <c r="D24" s="5"/>
    </row>
    <row r="25" spans="1:4" x14ac:dyDescent="0.2">
      <c r="A25" s="4">
        <v>21</v>
      </c>
      <c r="B25" s="5"/>
      <c r="C25" s="5"/>
      <c r="D25" s="5"/>
    </row>
    <row r="26" spans="1:4" x14ac:dyDescent="0.2">
      <c r="A26" s="4">
        <v>22</v>
      </c>
      <c r="B26" s="5"/>
      <c r="C26" s="5"/>
      <c r="D26" s="5"/>
    </row>
    <row r="27" spans="1:4" x14ac:dyDescent="0.2">
      <c r="A27" s="4">
        <v>23</v>
      </c>
      <c r="B27" s="5"/>
      <c r="C27" s="5"/>
      <c r="D27" s="5"/>
    </row>
    <row r="28" spans="1:4" x14ac:dyDescent="0.2">
      <c r="A28" s="4">
        <v>24</v>
      </c>
      <c r="B28" s="5"/>
      <c r="C28" s="5"/>
      <c r="D28" s="5"/>
    </row>
    <row r="29" spans="1:4" x14ac:dyDescent="0.2">
      <c r="A29" s="4">
        <v>25</v>
      </c>
      <c r="B29" s="5"/>
      <c r="C29" s="5"/>
      <c r="D29" s="5"/>
    </row>
    <row r="30" spans="1:4" x14ac:dyDescent="0.2">
      <c r="A30" s="4">
        <v>26</v>
      </c>
      <c r="B30" s="5"/>
      <c r="C30" s="5"/>
      <c r="D30" s="5"/>
    </row>
    <row r="31" spans="1:4" x14ac:dyDescent="0.2">
      <c r="A31" s="4">
        <v>27</v>
      </c>
      <c r="B31" s="5"/>
      <c r="C31" s="5"/>
      <c r="D31" s="5"/>
    </row>
    <row r="32" spans="1:4" x14ac:dyDescent="0.2">
      <c r="A32" s="4">
        <v>28</v>
      </c>
      <c r="B32" s="5"/>
      <c r="C32" s="5"/>
      <c r="D32" s="5"/>
    </row>
    <row r="33" spans="1:4" x14ac:dyDescent="0.2">
      <c r="A33" s="4">
        <v>29</v>
      </c>
      <c r="B33" s="5"/>
      <c r="C33" s="5"/>
      <c r="D33" s="5"/>
    </row>
    <row r="34" spans="1:4" x14ac:dyDescent="0.2">
      <c r="A34" s="4">
        <v>30</v>
      </c>
      <c r="B34" s="5"/>
      <c r="C34" s="5"/>
      <c r="D34" s="5"/>
    </row>
    <row r="35" spans="1:4" x14ac:dyDescent="0.2">
      <c r="A35" s="4">
        <v>31</v>
      </c>
      <c r="B35" s="5"/>
      <c r="C35" s="5"/>
      <c r="D35" s="5"/>
    </row>
    <row r="36" spans="1:4" x14ac:dyDescent="0.2">
      <c r="A36" s="4">
        <v>32</v>
      </c>
      <c r="B36" s="5"/>
      <c r="C36" s="5"/>
      <c r="D36" s="5"/>
    </row>
    <row r="37" spans="1:4" x14ac:dyDescent="0.2">
      <c r="A37" s="4">
        <v>33</v>
      </c>
      <c r="B37" s="5"/>
      <c r="C37" s="5"/>
      <c r="D37" s="5"/>
    </row>
    <row r="38" spans="1:4" x14ac:dyDescent="0.2">
      <c r="A38" s="4">
        <v>34</v>
      </c>
      <c r="B38" s="5"/>
      <c r="C38" s="5"/>
      <c r="D38" s="5"/>
    </row>
    <row r="39" spans="1:4" x14ac:dyDescent="0.2">
      <c r="A39" s="4">
        <v>35</v>
      </c>
      <c r="B39" s="5"/>
      <c r="C39" s="5"/>
      <c r="D39" s="5"/>
    </row>
    <row r="40" spans="1:4" x14ac:dyDescent="0.2">
      <c r="A40" s="4">
        <v>36</v>
      </c>
      <c r="B40" s="5"/>
      <c r="C40" s="5"/>
      <c r="D40" s="5"/>
    </row>
    <row r="41" spans="1:4" x14ac:dyDescent="0.2">
      <c r="A41" s="4">
        <v>37</v>
      </c>
      <c r="B41" s="5"/>
      <c r="C41" s="5"/>
      <c r="D41" s="5"/>
    </row>
    <row r="42" spans="1:4" x14ac:dyDescent="0.2">
      <c r="A42" s="4">
        <v>38</v>
      </c>
      <c r="B42" s="5"/>
      <c r="C42" s="5"/>
      <c r="D42" s="5"/>
    </row>
    <row r="43" spans="1:4" x14ac:dyDescent="0.2">
      <c r="A43" s="4">
        <v>39</v>
      </c>
      <c r="B43" s="5"/>
      <c r="C43" s="5"/>
      <c r="D43" s="5"/>
    </row>
    <row r="44" spans="1:4" x14ac:dyDescent="0.2">
      <c r="A44" s="4">
        <v>40</v>
      </c>
      <c r="B44" s="5"/>
      <c r="C44" s="5"/>
      <c r="D44" s="5"/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10" customWidth="1"/>
    <col min="3" max="3" width="60" customWidth="1"/>
  </cols>
  <sheetData>
    <row r="1" spans="1:3" ht="16" x14ac:dyDescent="0.2">
      <c r="A1" s="6" t="s">
        <v>100</v>
      </c>
      <c r="B1" s="6" t="s">
        <v>101</v>
      </c>
      <c r="C1" s="6" t="s">
        <v>102</v>
      </c>
    </row>
    <row r="2" spans="1:3" ht="60" customHeight="1" x14ac:dyDescent="0.2">
      <c r="A2" s="7" t="s">
        <v>103</v>
      </c>
      <c r="B2" s="7" t="s">
        <v>104</v>
      </c>
      <c r="C2" s="7" t="s">
        <v>105</v>
      </c>
    </row>
    <row r="3" spans="1:3" ht="75" customHeight="1" x14ac:dyDescent="0.2">
      <c r="A3" s="7" t="s">
        <v>106</v>
      </c>
      <c r="B3" s="7" t="s">
        <v>107</v>
      </c>
      <c r="C3" s="7" t="s">
        <v>108</v>
      </c>
    </row>
    <row r="4" spans="1:3" ht="60" customHeight="1" x14ac:dyDescent="0.2">
      <c r="A4" s="7" t="s">
        <v>109</v>
      </c>
      <c r="B4" s="7" t="s">
        <v>110</v>
      </c>
      <c r="C4" s="7" t="s">
        <v>111</v>
      </c>
    </row>
    <row r="5" spans="1:3" ht="60" customHeight="1" x14ac:dyDescent="0.2">
      <c r="A5" s="7" t="s">
        <v>112</v>
      </c>
      <c r="B5" s="7" t="s">
        <v>113</v>
      </c>
      <c r="C5" s="7" t="s">
        <v>114</v>
      </c>
    </row>
    <row r="6" spans="1:3" ht="60" customHeight="1" x14ac:dyDescent="0.2">
      <c r="A6" s="7" t="s">
        <v>115</v>
      </c>
      <c r="B6" s="7" t="s">
        <v>116</v>
      </c>
      <c r="C6" s="7" t="s">
        <v>117</v>
      </c>
    </row>
    <row r="7" spans="1:3" ht="60" customHeight="1" x14ac:dyDescent="0.2">
      <c r="A7" s="7" t="s">
        <v>118</v>
      </c>
      <c r="B7" s="7" t="s">
        <v>119</v>
      </c>
      <c r="C7" s="7" t="s">
        <v>120</v>
      </c>
    </row>
    <row r="8" spans="1:3" ht="60" customHeight="1" x14ac:dyDescent="0.2">
      <c r="A8" s="7" t="s">
        <v>121</v>
      </c>
      <c r="B8" s="7" t="s">
        <v>122</v>
      </c>
      <c r="C8" s="7" t="s">
        <v>123</v>
      </c>
    </row>
    <row r="9" spans="1:3" ht="75" customHeight="1" x14ac:dyDescent="0.2">
      <c r="A9" s="7" t="s">
        <v>124</v>
      </c>
      <c r="B9" s="7" t="s">
        <v>125</v>
      </c>
      <c r="C9" s="7" t="s">
        <v>126</v>
      </c>
    </row>
    <row r="10" spans="1:3" ht="60" customHeight="1" x14ac:dyDescent="0.2">
      <c r="A10" s="7" t="s">
        <v>127</v>
      </c>
      <c r="B10" s="7" t="s">
        <v>128</v>
      </c>
      <c r="C10" s="7" t="s">
        <v>129</v>
      </c>
    </row>
    <row r="11" spans="1:3" ht="60" customHeight="1" x14ac:dyDescent="0.2">
      <c r="A11" s="7" t="s">
        <v>130</v>
      </c>
      <c r="B11" s="7" t="s">
        <v>131</v>
      </c>
      <c r="C11" s="7" t="s">
        <v>132</v>
      </c>
    </row>
    <row r="12" spans="1:3" ht="60" customHeight="1" x14ac:dyDescent="0.2">
      <c r="A12" s="7" t="s">
        <v>133</v>
      </c>
      <c r="B12" s="7" t="s">
        <v>134</v>
      </c>
      <c r="C12" s="7" t="s">
        <v>135</v>
      </c>
    </row>
    <row r="13" spans="1:3" ht="300" customHeight="1" x14ac:dyDescent="0.2">
      <c r="A13" s="7" t="s">
        <v>136</v>
      </c>
      <c r="B13" s="7" t="s">
        <v>137</v>
      </c>
      <c r="C13" s="7" t="s">
        <v>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baseColWidth="10" defaultColWidth="8.83203125" defaultRowHeight="15" x14ac:dyDescent="0.2"/>
  <cols>
    <col min="1" max="1" width="7" customWidth="1"/>
    <col min="2" max="2" width="20" customWidth="1"/>
    <col min="3" max="3" width="70" customWidth="1"/>
    <col min="4" max="4" width="60" customWidth="1"/>
  </cols>
  <sheetData>
    <row r="1" spans="1:4" ht="16" x14ac:dyDescent="0.2">
      <c r="A1" s="6" t="s">
        <v>100</v>
      </c>
      <c r="B1" s="6" t="s">
        <v>139</v>
      </c>
      <c r="C1" s="6" t="s">
        <v>140</v>
      </c>
      <c r="D1" s="6" t="s">
        <v>141</v>
      </c>
    </row>
    <row r="2" spans="1:4" ht="16" x14ac:dyDescent="0.2">
      <c r="A2" s="15" t="s">
        <v>62</v>
      </c>
      <c r="B2" s="15" t="s">
        <v>142</v>
      </c>
      <c r="C2" s="15" t="s">
        <v>143</v>
      </c>
      <c r="D2" s="15" t="s">
        <v>64</v>
      </c>
    </row>
    <row r="3" spans="1:4" ht="16" x14ac:dyDescent="0.2">
      <c r="A3" s="15" t="s">
        <v>65</v>
      </c>
      <c r="B3" s="15" t="s">
        <v>144</v>
      </c>
      <c r="C3" s="15" t="s">
        <v>145</v>
      </c>
      <c r="D3" s="15" t="s">
        <v>67</v>
      </c>
    </row>
    <row r="4" spans="1:4" ht="16" x14ac:dyDescent="0.2">
      <c r="A4" s="15" t="s">
        <v>68</v>
      </c>
      <c r="B4" s="15" t="s">
        <v>146</v>
      </c>
      <c r="C4" s="15" t="s">
        <v>147</v>
      </c>
      <c r="D4" s="15" t="s">
        <v>70</v>
      </c>
    </row>
    <row r="5" spans="1:4" ht="32" x14ac:dyDescent="0.2">
      <c r="A5" s="15" t="s">
        <v>71</v>
      </c>
      <c r="B5" s="15" t="s">
        <v>148</v>
      </c>
      <c r="C5" s="15" t="s">
        <v>149</v>
      </c>
      <c r="D5" s="15" t="s">
        <v>73</v>
      </c>
    </row>
    <row r="6" spans="1:4" ht="32" x14ac:dyDescent="0.2">
      <c r="A6" s="15" t="s">
        <v>58</v>
      </c>
      <c r="B6" s="15" t="s">
        <v>150</v>
      </c>
      <c r="C6" s="15" t="s">
        <v>151</v>
      </c>
      <c r="D6" s="15" t="s">
        <v>75</v>
      </c>
    </row>
    <row r="7" spans="1:4" ht="32" x14ac:dyDescent="0.2">
      <c r="A7" s="15" t="s">
        <v>76</v>
      </c>
      <c r="B7" s="15" t="s">
        <v>152</v>
      </c>
      <c r="C7" s="15" t="s">
        <v>153</v>
      </c>
      <c r="D7" s="15" t="s">
        <v>78</v>
      </c>
    </row>
    <row r="8" spans="1:4" ht="16" x14ac:dyDescent="0.2">
      <c r="A8" s="15" t="s">
        <v>55</v>
      </c>
      <c r="B8" s="15" t="s">
        <v>154</v>
      </c>
      <c r="C8" s="15" t="s">
        <v>155</v>
      </c>
      <c r="D8" s="15" t="s">
        <v>80</v>
      </c>
    </row>
    <row r="9" spans="1:4" ht="16" x14ac:dyDescent="0.2">
      <c r="A9" s="15" t="s">
        <v>81</v>
      </c>
      <c r="B9" s="15" t="s">
        <v>156</v>
      </c>
      <c r="C9" s="15" t="s">
        <v>157</v>
      </c>
      <c r="D9" s="15" t="s">
        <v>80</v>
      </c>
    </row>
    <row r="10" spans="1:4" ht="16" x14ac:dyDescent="0.2">
      <c r="A10" s="15" t="s">
        <v>83</v>
      </c>
      <c r="B10" s="15" t="s">
        <v>158</v>
      </c>
      <c r="C10" s="15" t="s">
        <v>159</v>
      </c>
      <c r="D10" s="15" t="s">
        <v>85</v>
      </c>
    </row>
    <row r="11" spans="1:4" ht="32" x14ac:dyDescent="0.2">
      <c r="A11" s="15" t="s">
        <v>86</v>
      </c>
      <c r="B11" s="15" t="s">
        <v>160</v>
      </c>
      <c r="C11" s="15" t="s">
        <v>161</v>
      </c>
      <c r="D11" s="15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Setup</vt:lpstr>
      <vt:lpstr>Results</vt:lpstr>
      <vt:lpstr>E1_actions</vt:lpstr>
      <vt:lpstr>Tasks</vt:lpstr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An</cp:lastModifiedBy>
  <dcterms:created xsi:type="dcterms:W3CDTF">2026-10-14T11:01:29Z</dcterms:created>
  <dcterms:modified xsi:type="dcterms:W3CDTF">2026-10-15T09:13:26Z</dcterms:modified>
</cp:coreProperties>
</file>
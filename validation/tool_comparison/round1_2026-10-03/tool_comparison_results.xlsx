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acbook/Downloads/TableComparison/"/>
    </mc:Choice>
  </mc:AlternateContent>
  <xr:revisionPtr revIDLastSave="0" documentId="13_ncr:1_{DF36583A-9585-4744-98E3-D78C2EE995BB}" xr6:coauthVersionLast="47" xr6:coauthVersionMax="47" xr10:uidLastSave="{00000000-0000-0000-0000-000000000000}"/>
  <bookViews>
    <workbookView xWindow="0" yWindow="680" windowWidth="30240" windowHeight="17740" activeTab="2" xr2:uid="{00000000-000D-0000-FFFF-FFFF00000000}"/>
  </bookViews>
  <sheets>
    <sheet name="README" sheetId="1" r:id="rId1"/>
    <sheet name="Setup" sheetId="2" r:id="rId2"/>
    <sheet name="Results" sheetId="3" r:id="rId3"/>
    <sheet name="Criteria" sheetId="4" r:id="rId4"/>
  </sheets>
  <definedNames>
    <definedName name="_xlnm._FilterDatabase" localSheetId="2" hidden="1">Results!$A$1:$J$71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 l="1"/>
  <c r="B22" i="2"/>
</calcChain>
</file>

<file path=xl/sharedStrings.xml><?xml version="1.0" encoding="utf-8"?>
<sst xmlns="http://schemas.openxmlformats.org/spreadsheetml/2006/main" count="672" uniqueCount="321">
  <si>
    <t>Tool comparison: results workbook</t>
  </si>
  <si>
    <t>Companion to TOOL_COMPARISON_INSTRUCTIONS.docx. Read the guide first.</t>
  </si>
  <si>
    <t>1. Fill the Setup sheet first (your computer, tool versions, dates).</t>
  </si>
  <si>
    <t>2. Go to the Results sheet. Do not add, delete or reorder rows/columns. Grey cells are pre-filled; yellow cells are yours.</t>
  </si>
  <si>
    <t>3. score: pick a symbol from the drop-down (✓, (✓), ✕, ERROR) or type a number for E1.</t>
  </si>
  <si>
    <t>4. what_you_observed is the most important column: copy messages word for word, say what appeared. Never score from memory or documentation.</t>
  </si>
  <si>
    <t>5. screenshot: file name only, saved as &lt;tool&gt;_&lt;criterion&gt;.png in your screenshots folder.</t>
  </si>
  <si>
    <t>6. If something goes wrong: paste the exact error in problem_or_error, put ERROR in score, and tell us.</t>
  </si>
  <si>
    <t>7. Save the file often. Send it back together with the screenshots folder.</t>
  </si>
  <si>
    <t>Your computer</t>
  </si>
  <si>
    <t>Your name</t>
  </si>
  <si>
    <t>Operating system and version (e.g. Windows 11 23H2)</t>
  </si>
  <si>
    <t>RAM (GB)</t>
  </si>
  <si>
    <t>Web browser and version (Chrome/Edge)</t>
  </si>
  <si>
    <t>R version (R.version.string)</t>
  </si>
  <si>
    <t>RStudio version (Help &gt; About RStudio)</t>
  </si>
  <si>
    <t>Python version (python --version)</t>
  </si>
  <si>
    <t>Tool versions</t>
  </si>
  <si>
    <t>tool (as in Results sheet)</t>
  </si>
  <si>
    <t>version</t>
  </si>
  <si>
    <t>how obtained</t>
  </si>
  <si>
    <t>date_tested</t>
  </si>
  <si>
    <t>tableone-R</t>
  </si>
  <si>
    <t>packageVersion("tableone")</t>
  </si>
  <si>
    <t>gtsummary</t>
  </si>
  <si>
    <t>packageVersion("gtsummary")</t>
  </si>
  <si>
    <t>compareGroups</t>
  </si>
  <si>
    <t>packageVersion("compareGroups")</t>
  </si>
  <si>
    <t>tableone-Python</t>
  </si>
  <si>
    <t>TernTables-web</t>
  </si>
  <si>
    <t>TernTables-R</t>
  </si>
  <si>
    <t>packageVersion("TernTables")</t>
  </si>
  <si>
    <t>EasyTableOne</t>
  </si>
  <si>
    <t>Progress</t>
  </si>
  <si>
    <t>Rows with a score</t>
  </si>
  <si>
    <t>Rows total</t>
  </si>
  <si>
    <t>Rows with a score but no observation</t>
  </si>
  <si>
    <t>tool</t>
  </si>
  <si>
    <t>interface_used</t>
  </si>
  <si>
    <t>criterion</t>
  </si>
  <si>
    <t>score</t>
  </si>
  <si>
    <t>what_you_did</t>
  </si>
  <si>
    <t>what_you_observed</t>
  </si>
  <si>
    <t>screenshot</t>
  </si>
  <si>
    <t>problem_or_error</t>
  </si>
  <si>
    <t>R console</t>
  </si>
  <si>
    <t>C1</t>
  </si>
  <si>
    <t>C2</t>
  </si>
  <si>
    <t>C3</t>
  </si>
  <si>
    <t>C4</t>
  </si>
  <si>
    <t>C5</t>
  </si>
  <si>
    <t>C6</t>
  </si>
  <si>
    <t>C7</t>
  </si>
  <si>
    <t>C8</t>
  </si>
  <si>
    <t>C9</t>
  </si>
  <si>
    <t>E1</t>
  </si>
  <si>
    <t>R console + cGroupsWUI</t>
  </si>
  <si>
    <t>Python</t>
  </si>
  <si>
    <t>web app</t>
  </si>
  <si>
    <t>web app (local)</t>
  </si>
  <si>
    <t>ID</t>
  </si>
  <si>
    <t>Criterion</t>
  </si>
  <si>
    <t>How to test</t>
  </si>
  <si>
    <t>Scoring rule</t>
  </si>
  <si>
    <t>Local only</t>
  </si>
  <si>
    <t>Does analysis require sending the data to a server?</t>
  </si>
  <si>
    <t>✓ everything runs on your machine; ✕ the data are uploaded</t>
  </si>
  <si>
    <t>Journal styles</t>
  </si>
  <si>
    <t>Is there a named journal preset (NEJM, JAMA, Lancet...) you can select?</t>
  </si>
  <si>
    <t>✓ selectable without code; (✓) needs code; ✕ none</t>
  </si>
  <si>
    <t>Interactive preview</t>
  </si>
  <si>
    <t>Change decimals and a label: does the table re-render before export, without code?</t>
  </si>
  <si>
    <t>✓ yes; (✓) options without preview; ✕ requires re-running code</t>
  </si>
  <si>
    <t>Guardrails</t>
  </si>
  <si>
    <t>Probe file by DEATH_EVENT. Does the tool tell you about (a) 35% missing, (b) sparse cells/Fisher, (c) tiny category C (n=3), (d) many variables tested / multiplicity?</t>
  </si>
  <si>
    <t>✓ all of a–d shown; (✓) only some shown, or test changes silently; ✕ none</t>
  </si>
  <si>
    <t>Post-hoc</t>
  </si>
  <si>
    <t>hf_comparison.csv by ef_group (3 groups): pairwise comparisons with multiplicity correction produced automatically?</t>
  </si>
  <si>
    <t>✓ automatic; (✓) only with extra code/options; ✕ none</t>
  </si>
  <si>
    <t>Reproducibility</t>
  </si>
  <si>
    <t>Does the tool emit BOTH a machine-readable record of the analysis state AND runnable code?</t>
  </si>
  <si>
    <t>✓ both; (✓) one; ✕ neither</t>
  </si>
  <si>
    <t>Multiple strata</t>
  </si>
  <si>
    <t>Can you stratify by DEATH_EVENT and sex at once?</t>
  </si>
  <si>
    <t>✓ / (✓) / ✕</t>
  </si>
  <si>
    <t>Weighted data</t>
  </si>
  <si>
    <t>Support for survey or propensity-score weights?</t>
  </si>
  <si>
    <t>Scripting API</t>
  </si>
  <si>
    <t>Can it be called from code inside an analysis pipeline?</t>
  </si>
  <si>
    <t>✓ / ✕</t>
  </si>
  <si>
    <t>Effort</t>
  </si>
  <si>
    <t>GUI tools: number of user actions (clicks, selections, typed entries). Code tools: non-blank, non-comment lines of code, excluding install lines.</t>
  </si>
  <si>
    <t>A number, not a symbol</t>
  </si>
  <si>
    <t>R version 4.5.0 (2025-04-11)</t>
  </si>
  <si>
    <t>2025.05.0+496</t>
  </si>
  <si>
    <t>0.13.2</t>
  </si>
  <si>
    <t>2.6.1</t>
  </si>
  <si>
    <t>4.10.4</t>
  </si>
  <si>
    <t>1.7.2</t>
  </si>
  <si>
    <t>Python 3.13.3</t>
  </si>
  <si>
    <t>0.9.6</t>
  </si>
  <si>
    <r>
      <t>python -c "import tableone; print(tableone.__version__)"</t>
    </r>
    <r>
      <rPr>
        <sz val="11"/>
        <color rgb="FFFF0000"/>
        <rFont val="Calibri (Body)"/>
      </rPr>
      <t>— macOS, virtual environment python_env</t>
    </r>
  </si>
  <si>
    <t>tableone-R_E1.png</t>
  </si>
  <si>
    <t>✓</t>
  </si>
  <si>
    <t>Read the local CSV and ran the main-table script in RStudio on my Mac</t>
  </si>
  <si>
    <t>tableone-R_C1.png</t>
  </si>
  <si>
    <t>✕</t>
  </si>
  <si>
    <t>tableone-R_C3.png</t>
  </si>
  <si>
    <t>(✓)</t>
  </si>
  <si>
    <t>tableone-R_C4_a.png; tableone-R_C4_b.png; tableone-R_C4_c.png; tableone-R_C4_d.png</t>
  </si>
  <si>
    <t>tableone-R_C5.png</t>
  </si>
  <si>
    <t>tableone-R_C2_a.png; tableone-R_C2_b.png</t>
  </si>
  <si>
    <t>tableone-R_C6.png</t>
  </si>
  <si>
    <t>tableone-R_C7.png</t>
  </si>
  <si>
    <t>tableone-R_C8.png</t>
  </si>
  <si>
    <t>Warning message: package ‘survey’ was built under R version 4.5.2. Execution continued and the table was produced.</t>
  </si>
  <si>
    <t>tableone-R_C9.png</t>
  </si>
  <si>
    <t>gtsummary_E1.png</t>
  </si>
  <si>
    <t>Warning message: package ‘gtsummary’ was built under R version 4.5.2.
Warning message: package ‘dplyr’ was built under R version 4.5.2.
Execution continued and the table was produced.</t>
  </si>
  <si>
    <t>gtsummary_C1.png</t>
  </si>
  <si>
    <t>gtsummary_C2_a.png; gtsummary_C2_b.png; gtsummary_C2_c.png; gtsummary_C2_d.png; gtsummary_C2_e.png</t>
  </si>
  <si>
    <t>gtsummary_C3.png</t>
  </si>
  <si>
    <t>gtsummary_C4_a.png</t>
  </si>
  <si>
    <t>gtsummary_C5_a.png; gtsummary_C5_b_1.png; gtsummary_C5_b_2.png; gtsummary_C5_c.png; gtsummary_C5_d.png</t>
  </si>
  <si>
    <t>gtsummary_C6_a.png; gtsummary_C6_b.png</t>
  </si>
  <si>
    <t>gtsummary_C7.png</t>
  </si>
  <si>
    <t>gtsummary_C8.png</t>
  </si>
  <si>
    <t>gtsummary_C9.png</t>
  </si>
  <si>
    <t>package ‘compareGroups’ was built under R version 4.5.2.
variable 'anaemia' converted to factor since few different values contained
variable 'diabetes' converted to factor since few different values contained
variable 'high_blood_pressure' converted to factor since few different values contained
variable 'sex' converted to factor since few different values contained
variable 'smoking' converted to factor since few different values contained
Execution continued and the table was produced.</t>
  </si>
  <si>
    <t>compareGroups_E1.png; compareGroups_E1_GUI.png</t>
  </si>
  <si>
    <t>compareGroups_C2_a.png; compareGroups_C2_b.png</t>
  </si>
  <si>
    <t>compareGroups_C3_a.png; compareGroups_C3_b.png</t>
  </si>
  <si>
    <t>compareGroups_C4_a.png; compareGroups_C4_b.png</t>
  </si>
  <si>
    <t>Five warnings: anaemia, diabetes, high_blood_pressure, sex, and smoking were converted to factors because they contained few distinct values. No execution error.</t>
  </si>
  <si>
    <t>compareGroups_C5_a.png; compareGroups_C5_b.png; compareGroups_C5_c.png</t>
  </si>
  <si>
    <t>compareGroups_C6_a.png</t>
  </si>
  <si>
    <t>ERROR</t>
  </si>
  <si>
    <t>compareGroups_C7_error.png</t>
  </si>
  <si>
    <t>Warning messages:
1: In compare.i(X[, i], y = y, selec.i = selec[i], method.i = method[i],  ... :
  variable 'anaemia' converted to factor since few different values contained
2: In compare.i(X[, i], y = y, selec.i = selec[i], method.i = method[i],  ... :
  variable 'diabetes' converted to factor since few different values contained
3: In compare.i(X[, i], y = y, selec.i = selec[i], method.i = method[i],  ... :
  variable 'high_blood_pressure' converted to factor since few different values contained
4: In compare.i(X[, i], y = y, selec.i = selec[i], method.i = method[i],  ... :
  variable 'sex' converted to factor since few different values contained
5: In compare.i(X[, i], y = y, selec.i = selec[i], method.i = method[i],  ... :
  variable 'smoking' converted to factor since few different values contained
6: In chisq.test(xx, correct = FALSE) :
  Chi-squared approximation may be incorrect
7: In compare.i(X[, i], y = y, selec.i = selec[i], method.i = method[i],  ... :
  variable 'anaemia' converted to factor since few different values contained
8: In compare.i(X[, i], y = y, selec.i = selec[i], method.i = method[i],  ... :
  variable 'diabetes' converted to factor since few different values contained
9: In compare.i(X[, i], y = y, selec.i = selec[i], method.i = method[i],  ... :
  variable 'high_blood_pressure' converted to factor since few different values contained
10: In compare.i(X[, i], y = y, selec.i = selec[i], method.i = method[i],  ... :
  variable 'sex' converted to factor since few different values contained
11: In compare.i(X[, i], y = y, selec.i = selec[i], method.i = method[i],  ... :
  variable 'smoking' converted to factor since few different values contained</t>
  </si>
  <si>
    <t>compareGroups_C8.png</t>
  </si>
  <si>
    <t>Called compareGroups() and createTable() from the saved R script.</t>
  </si>
  <si>
    <t>compareGroups_C9.png</t>
  </si>
  <si>
    <t>compareGroups_C1.png</t>
  </si>
  <si>
    <t>Part A: Ran the 4-line main-table R code.
Part B: After a practice run, performed the counted GUI run:
1. Clicked Browse.
2. Selected the TableComparison folder.
3. Clicked Open to enter the folder.
4. Selected hf_comparison.csv.
5. Clicked Open to confirm the file.
6. Opened Data format.
7. Selected TEXT.
8. Clicked Preview data.
9. Clicked Described variables.
10. Clicked All.
11. Removed time.
12. Removed ef_group.
13. Removed DEATH_EVENT from described variables.
14. Clicked Update.
15. Clicked Response / groups.
16. Clicked Group.
17. Opened the grouping-variable list.
18. Selected DEATH_EVENT.
19. Clicked Update to produce the table with P values.</t>
  </si>
  <si>
    <t>tableone-Python_E1.png</t>
  </si>
  <si>
    <t>tableone-Python_C2.png</t>
  </si>
  <si>
    <t>Missing count was 105, without a high-missingness warning. rare_category retained Chi-squared with an expected-count warning; level C had counts 3 and 0, without a separate tiny-group warning. Adjusted p-values appeared only after requesting Bonferroni. No additional diagnostic remarks appeared below the tables.</t>
  </si>
  <si>
    <t>tableone-Python_C4_a.png; tableone-Python_C4_b.png</t>
  </si>
  <si>
    <t>Chi-squared (warning: expected count &lt; 5)</t>
  </si>
  <si>
    <t>tableone-Python_C5.png</t>
  </si>
  <si>
    <t>tableone-Python_C6.png</t>
  </si>
  <si>
    <t>tableone-Python_C7_error.png</t>
  </si>
  <si>
    <t>ValueError: Invalid 'groupby' type: expected a string, received a list. Use 'DEATH_EVENT' if it's the intended group.</t>
  </si>
  <si>
    <t>1.7.2.9004</t>
  </si>
  <si>
    <t>1. Click upload; 2. Select CSV; 3. Open; 4. Confirm de-identification; 5. Continue to coding check; 6–11. Select six binary variables; 12. Continue to configuration; 13. Group Comparison; 14. Select DEATH_EVENT; 15. Continue; 16. Exclude time; 17. Exclude ef_group; 18. Continue; 19. Skip name cleaning; 20. Continue from layout; 21. Continue from factor ordering; 22. Continue to Options; 23. Generate Table.</t>
  </si>
  <si>
    <t>TernTables-web_E1.png</t>
  </si>
  <si>
    <t>TernTables-web_C2.png</t>
  </si>
  <si>
    <t>Edited label Age (years) was not reflected in the generated preview.</t>
  </si>
  <si>
    <t>Missingness: 105 NA shown, without a high-missingness warning. Sparse cells: Fisher with Monte Carlo simulation was named in a footnote. Tiny category: C counts were 3 and 0, without a separate warning. Multiplicity: FDR option and explanation were shown; correction remained off. No additional warnings appeared above the result.</t>
  </si>
  <si>
    <t>TernTables-web_C4_a.png; TernTables-web_C4_b.png; TernTables-web_C4_c.png</t>
  </si>
  <si>
    <t>TernTables-web_C5_a.png; TernTables-web_C5_b.png</t>
  </si>
  <si>
    <t>TernTables-web_C6.png</t>
  </si>
  <si>
    <t>Tried selecting DEATH_EVENT and sex together.</t>
  </si>
  <si>
    <t>Only one grouping variable could be selected at a time.</t>
  </si>
  <si>
    <t>TernTables-web_C7.png</t>
  </si>
  <si>
    <t>Checked configuration and Advanced Options for weights.</t>
  </si>
  <si>
    <t>No survey or propensity-weight controls found.</t>
  </si>
  <si>
    <t>Searched About for API and endpoint.</t>
  </si>
  <si>
    <t>No web API documentation found; API matches were within Shapiro–Wilk.</t>
  </si>
  <si>
    <t>TernTables-web_C9.png</t>
  </si>
  <si>
    <t>TernTables-web_C1.png</t>
  </si>
  <si>
    <t>Ran ternG in local Rstudio.</t>
  </si>
  <si>
    <t>Read local CSV and wrote local Word files; no data upload required.</t>
  </si>
  <si>
    <t>TernTables-R_E1.png</t>
  </si>
  <si>
    <t>Checked ternG documentation for journal presets.</t>
  </si>
  <si>
    <t>Manual formatting options found; no named journal presets documented.</t>
  </si>
  <si>
    <t>TernTables-R_C2.png</t>
  </si>
  <si>
    <t>Checked ternG formatting options and output.</t>
  </si>
  <si>
    <t>Formatting changes require rerunning code; no interactive preview found.</t>
  </si>
  <si>
    <t>Ran the supplied probe code; checked Console and Word output.</t>
  </si>
  <si>
    <t>Fisher–Monte Carlo footnote shown. No missingness, tiny-category or multiplicity warnings. C counts: 3 and 0.</t>
  </si>
  <si>
    <t>TernTables-R_C4.png</t>
  </si>
  <si>
    <t>Fisher’s exact test with Monte Carlo simulation (B = 10,000; seed 42) was used where exact enumeration was computationally infeasible: Rare Category.</t>
  </si>
  <si>
    <t>Compared default output with post_hoc = TRUE.</t>
  </si>
  <si>
    <t>Default: no pairwise results. TRUE: superscript comparisons for three variables; documented methods are Games–Howell and Dunn–Holm.</t>
  </si>
  <si>
    <t>TernTables-R_C5.png</t>
  </si>
  <si>
    <t>Checked list.files() and methods_filename documentation.</t>
  </si>
  <si>
    <t>Created Word tables and a methods DOCX; no machine-readable analysis state or generated code found.</t>
  </si>
  <si>
    <t>TernTables-R_C6.png</t>
  </si>
  <si>
    <t>Tried group_var = c("DEATH_EVENT", "sex").</t>
  </si>
  <si>
    <t>Call failed; no table produced.</t>
  </si>
  <si>
    <t>TernTables-R_C7_error.png</t>
  </si>
  <si>
    <t>Error in .subset2(x, i, exact = exact) : subscript out of bounds</t>
  </si>
  <si>
    <t>Checked package help and ternG arguments for weights/survey.</t>
  </si>
  <si>
    <t>No survey or propensity-weight options found in inspected documentation.</t>
  </si>
  <si>
    <t>TernTables-R_C8.png</t>
  </si>
  <si>
    <t>Called ternG() from an R script.</t>
  </si>
  <si>
    <t>Successfully generated tables and Word files.</t>
  </si>
  <si>
    <t>Ran the main-table code: 5 physical lines.</t>
  </si>
  <si>
    <t>Table generated with groups 203 and 96, total 299, and P values.</t>
  </si>
  <si>
    <t>package ‘TernTables’ was built under R version 4.5.2</t>
  </si>
  <si>
    <t>Read the Privacy Policy.</t>
  </si>
  <si>
    <t>Policy states processing occurs entirely in the browser; no data transmission or backend server.</t>
  </si>
  <si>
    <t>EasyTableOne_C1.png</t>
  </si>
  <si>
    <t>EasyTableOne_E1.png</t>
  </si>
  <si>
    <t>Applied NEJM preset.</t>
  </si>
  <si>
    <t>EasyTableOne_C2.png</t>
  </si>
  <si>
    <t>Changed decimals to 3 and age label.</t>
  </si>
  <si>
    <t>Preview updated without rerunning statistics.</t>
  </si>
  <si>
    <t>EasyTableOne_C3_a.png; EasyTableOne_C3_b.png</t>
  </si>
  <si>
    <t>Tested missingness, sparse cells, tiny group and multiplicity.</t>
  </si>
  <si>
    <t>EasyTableOne_C4_a.png; EasyTableOne_C4_b.png; EasyTableOne_C4_d.png; EasyTableOne_C4_e.png</t>
  </si>
  <si>
    <t>Compared three ef_group levels with defaults.</t>
  </si>
  <si>
    <t>Automatic Dunn post-hoc with Holm adjustment.</t>
  </si>
  <si>
    <t>EasyTableOne_C5_a.png; EasyTableOne_C5_b.png</t>
  </si>
  <si>
    <t>Exported reproducibility JSON and Python script.</t>
  </si>
  <si>
    <t>JSON contains analysis state; Python contains rerun code.</t>
  </si>
  <si>
    <t>EasyTableOne_C6_a.png</t>
  </si>
  <si>
    <t>Checked grouping selector and FAQ.</t>
  </si>
  <si>
    <t>EasyTableOne_C7.png</t>
  </si>
  <si>
    <t>Only one grouping variable; no multi-strata option found.</t>
  </si>
  <si>
    <t>No survey or propensity/IPTW weighting option found.</t>
  </si>
  <si>
    <t>EasyTableOne_C8_a.png; EasyTableOne_C8_b.png</t>
  </si>
  <si>
    <t>EasyTableOne_C9.png</t>
  </si>
  <si>
    <t>3.18.0</t>
  </si>
  <si>
    <t>Vo Thuy An</t>
  </si>
  <si>
    <t xml:space="preserve">page footer / About / settings (write 'not shown' if absent) - Version displayed in the web app </t>
  </si>
  <si>
    <t>version shown in the app (footer / About) - Version displayed in Statistical Methods and exported JSON.</t>
  </si>
  <si>
    <t>16 GB</t>
  </si>
  <si>
    <t>macOS Tahoe 26.6.2</t>
  </si>
  <si>
    <t>1. Clicked the file-selection button.
2. Selected hf_comparison.csv.
3. Clicked Open.
4. Clicked Continue to sheet &amp; header.
5. Clicked Skip – continue to variable types.
6. Excluded time.
7. Excluded ef_group.
8. Clicked Proceed in Variable types.
9. Clicked Proceed in Data checks.
10. Selected DEATH_EVENT.
11. Clicked Run Statistics.
12. Opened Format and export.
13. Clicked Download Word (.docx).</t>
  </si>
  <si>
    <t>13 actions reconstructed from practice run; no separate counted run. NEJM was already selected.</t>
  </si>
  <si>
    <t>(a) “High Missingness Requires Review”: serum_sodium_35pct_missing had 35.1% missingness. Acknowledge was required to retain the variable and proceed.
(b) “Fisher's exact (Monte Carlo) - sparse table”: selected automatically for rare_category; P = 0.512.
(c) “Some groups have very small sample sizes: 'C' (n=3).” Confirmation was required before Run Statistics.
(d) “You are reporting 11 P-values with no multiple-testing correction.” The app recommended Holm or Benjamini–Hochberg (FDR).</t>
  </si>
  <si>
    <t>Google Chrome 153.0.8010.53 (arm64)</t>
  </si>
  <si>
    <t>Presets: NEJM, JAMA, The Lancet, Nature Medicine, Standard/Generic. NEJM applied journal-specific formatting defaults.</t>
  </si>
  <si>
    <t>TernTables-web_C3_a.png; TernTables-web_C3_b.png</t>
  </si>
  <si>
    <t>RStudio.Ran locally; no CSV upload required.</t>
  </si>
  <si>
    <t>Formatting options available; no named journal presets found.</t>
  </si>
  <si>
    <t>Checked CreateTableOne and print.TableOne help for journal presets.</t>
  </si>
  <si>
    <t>Tried editing labels and decimals in the Console output.</t>
  </si>
  <si>
    <t>Console output.	No interactive editing; code changes and rerunning required.</t>
  </si>
  <si>
    <t>Ran the supplied probe code; checked output, warnings() and summary(t2).</t>
  </si>
  <si>
    <t>(a) Missing: 70/203 and 35/96; no high-missingness warning.
(b) rare_category used approximate P = 0.372; no automatic Fisher switch or sparse-cell warning.
(c) Category C counts: 3 and 0; no small-category warning.
(d) No multiplicity warning or adjustment.
warnings() returned no messages.</t>
  </si>
  <si>
    <t>Ran the supplied three-group test using ef_group.</t>
  </si>
  <si>
    <t>Overall P-values only; no pairwise comparisons or multiplicity correction shown.</t>
  </si>
  <si>
    <t>Checked files, R objects and names(t1).</t>
  </si>
  <si>
    <t>No tool-generated analysis-state file or runnable code found.</t>
  </si>
  <si>
    <t>Ran the supplied test with DEATH_EVENT and sex as strata.</t>
  </si>
  <si>
    <t>Four strata produced: n = 71, 34, 132 and 62.</t>
  </si>
  <si>
    <t>Ran svyCreateTableOne with a survey design and unit weights.</t>
  </si>
  <si>
    <t>Weighted table produced successfully; all weights were 1.</t>
  </si>
  <si>
    <t>Called CreateTableOne and print from the saved R script.</t>
  </si>
  <si>
    <t>Ran the 6 non-blank, non-comment lines of the main script.</t>
  </si>
  <si>
    <t>Groups: 203 and 96; counts (%), median [IQR], P-values and SMD displayed.</t>
  </si>
  <si>
    <t>Ran the main script using a local CSV in RStudio.</t>
  </si>
  <si>
    <t>Ran locally; no CSV upload required.</t>
  </si>
  <si>
    <t>Checked journal-theme help and tested NEJM, JAMA, Lancet and QJEcon.</t>
  </si>
  <si>
    <t>All four presets worked; code required to apply them.</t>
  </si>
  <si>
    <t>Tried editing labels and decimals in the Viewer.</t>
  </si>
  <si>
    <t>No interactive editing; code changes and rerunning required.</t>
  </si>
  <si>
    <t>Ran the supplied probe code; checked the table, test footnotes and Console.</t>
  </si>
  <si>
    <t>(a) Unknown rows showed 70 and 35 missing values; no high-missingness warning.
(b) Fisher’s exact test used automatically; rare_category P = 0.5 (rounded).
(c) Category C: 3 (1.5%) and 0 (0.0%); no small-category warning.
(d) No multiplicity warning or adjustment.
No new Console warnings or errors.</t>
  </si>
  <si>
    <t>Ran the three-group test and checked add_p/add_difference help.</t>
  </si>
  <si>
    <t>Overall P-values only; pairwise comparisons with multiplicity correction not demonstrated.</t>
  </si>
  <si>
    <t>Checked working-folder files and the Viewer Export menu.</t>
  </si>
  <si>
    <t>Ran tbl_strata by sex, with DEATH_EVENT groups within each stratum.</t>
  </si>
  <si>
    <t>Four groups produced: n = 71, 34, 132 and 62. No P-values requested.</t>
  </si>
  <si>
    <t>Ran tbl_svysummary with a survey design and unit weights.</t>
  </si>
  <si>
    <t>Survey table produced; group totals 203 and 96. All weights were 1</t>
  </si>
  <si>
    <t>Called tbl_summary and add_p from the saved R script.</t>
  </si>
  <si>
    <t>Successfully invoked through R code.</t>
  </si>
  <si>
    <t>Ran the 4-line main script with the NEJM theme.</t>
  </si>
  <si>
    <t>Groups: 203 and 96; median (IQR), n (%), P-values and test footnotes displayed.</t>
  </si>
  <si>
    <t>Ran R code and opened cGroupsWUI locally.</t>
  </si>
  <si>
    <t>Both interfaces ran locally; WUI at 127.0.0.1:8102.</t>
  </si>
  <si>
    <t>Checked GUI Options and Display menus.</t>
  </si>
  <si>
    <t>Manual formatting available; no named journal presets found.</t>
  </si>
  <si>
    <t>Changed the P-value label and decimals from 3 to 2 in the GUI.</t>
  </si>
  <si>
    <t>Table updated after Apply/Update; no R code required.</t>
  </si>
  <si>
    <t>Ran the probe with method=NA; checked show.n=TRUE and warnings().</t>
  </si>
  <si>
    <t>(a) Available N = 194 for the missing-data variable; no high-missingness warning.
(b) rare_category P = 0.512; no sparse-cell warning.
(c) Category C counts: 3 and 0; no small-category warning.
(d) No multiplicity warning observed.
Warnings concerned factor conversion only.</t>
  </si>
  <si>
    <t>Enabled pairwise P-values for ef_group with show.p.mul=TRUE; checked help.</t>
  </si>
  <si>
    <t>All three pairwise comparisons shown. Help documents multiplicity correction; extra option required.</t>
  </si>
  <si>
    <t>Checked the WUI Save menu and export documentation.</t>
  </si>
  <si>
    <t>Table exports only; no generated code or reloadable analysis settings found.</t>
  </si>
  <si>
    <t>Test failed: table 2 does not have the same row.names.</t>
  </si>
  <si>
    <t>Ran strataTable(createTable(res), "sex") and checked warnings().</t>
  </si>
  <si>
    <t>Checked help and WUI settings for weighting options.</t>
  </si>
  <si>
    <t>No survey or propensity-score weighting option found.</t>
  </si>
  <si>
    <t>Main table produced through R code.</t>
  </si>
  <si>
    <t>R: 4 lines. GUI: 19 actions. Groups: 203 and 96, with P-values.</t>
  </si>
  <si>
    <t>Ran tableone_py.py with a local CSV in Terminal.</t>
  </si>
  <si>
    <t>Ran locally; no data upload required.</t>
  </si>
  <si>
    <t>Checked help(TableOne) for journal presets.</t>
  </si>
  <si>
    <t>Checked table output and decimals/rename parameters.</t>
  </si>
  <si>
    <t>No interactive preview; code changes and rerunning required.</t>
  </si>
  <si>
    <t>Ran the probe with diagnostic tests enabled, then requested Bonferroni adjustment.</t>
  </si>
  <si>
    <t>Three groups shown; overall P-values only. No pairwise comparisons or multiplicity correction.</t>
  </si>
  <si>
    <t>Checked script output and working-folder files.</t>
  </si>
  <si>
    <t>Failed groupby validation; no two-variable grouping table produced.</t>
  </si>
  <si>
    <t>Ran the supplied test with groupby=["DEATH_EVENT", "sex"].</t>
  </si>
  <si>
    <t>No survey or propensity-score weighting options found.</t>
  </si>
  <si>
    <t>Checked help(TableOne) for weighting options.</t>
  </si>
  <si>
    <t>Called TableOne from tableone_py.py.</t>
  </si>
  <si>
    <t>Table produced through Python code, with P-values, SMDs and test names.</t>
  </si>
  <si>
    <t>Ran the 7-line main script in Terminal.</t>
  </si>
  <si>
    <t>Groups: 203 and 96; P-values, SMDs and test names displayed.</t>
  </si>
  <si>
    <t>Checked privacy information and uploaded the CSV.</t>
  </si>
  <si>
    <t>Web upload required. About states no data retained after the session; processing location unspecified.</t>
  </si>
  <si>
    <t>Checked formatting and Advanced Options for journal presets.</t>
  </si>
  <si>
    <t>2 decimals did not apply; 3 applied with Row percentages. Label remained Age. Generate Table required.</t>
  </si>
  <si>
    <t>Changed decimals and the Age label, then clicked Generate Table.</t>
  </si>
  <si>
    <t>Ran the probe with default options; checked results and footnotes.</t>
  </si>
  <si>
    <t>Ran the three-group test with the preselected post-hoc option.</t>
  </si>
  <si>
    <t>Automatic post-hoc letters shown. Games–Howell and Dunn–Holm documented; no categorical post-hoc tests.</t>
  </si>
  <si>
    <t>R script offered; no separate analysis-state export found.</t>
  </si>
  <si>
    <t>Checked download options.</t>
  </si>
  <si>
    <t>Groups: 203 and 96; 11 variables and P-values. 23 actions counted from the completed practice run.</t>
  </si>
  <si>
    <t>No instructions for calling the tool from code were found in the inspected pages.</t>
  </si>
  <si>
    <t>Checked the app and FAQ for instructions on calling the tool from code.</t>
  </si>
  <si>
    <t>Checked FAQ and Modeling/Advanced settings for weighting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</si>
</sst>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4"/>
      <color rgb="FF1F3A5F"/>
      <name val="Calibri"/>
      <family val="2"/>
    </font>
    <font>
      <sz val="11"/>
      <color rgb="FF000000"/>
      <name val="Calibri"/>
      <family val="2"/>
    </font>
    <font>
      <b/>
      <sz val="13"/>
      <color rgb="FF1F3A5F"/>
      <name val="Calibri"/>
      <family val="2"/>
    </font>
    <font>
      <b/>
      <sz val="11"/>
      <color rgb="FFFFFFFF"/>
      <name val="Calibri"/>
      <family val="2"/>
    </font>
    <font>
      <sz val="11"/>
      <color rgb="FFFF0000"/>
      <name val="Calibri (Body)"/>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FFF9E5"/>
      </patternFill>
    </fill>
    <fill>
      <patternFill patternType="solid">
        <fgColor rgb="FF1F3A5F"/>
      </patternFill>
    </fill>
    <fill>
      <patternFill patternType="solid">
        <fgColor rgb="FFE7E6E6"/>
      </patternFill>
    </fill>
    <fill>
      <patternFill patternType="solid">
        <fgColor rgb="FFFFF9E5"/>
        <bgColor rgb="FF0000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A5F"/>
      </bottom>
      <diagonal/>
    </border>
  </borders>
  <cellStyleXfs count="1">
    <xf numFmtId="0" fontId="0" fillId="0" borderId="0"/>
  </cellStyleXfs>
  <cellXfs count="1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xf numFmtId="0" fontId="0" fillId="0" borderId="1" xfId="0" applyBorder="1"/>
    <xf numFmtId="0" fontId="0" fillId="2" borderId="1" xfId="0" applyFill="1" applyBorder="1"/>
    <xf numFmtId="0" fontId="4" fillId="3" borderId="1" xfId="0" applyFont="1" applyFill="1" applyBorder="1"/>
    <xf numFmtId="0" fontId="0" fillId="4" borderId="1" xfId="0" applyFill="1" applyBorder="1" applyAlignment="1">
      <alignment vertical="top" wrapText="1"/>
    </xf>
    <xf numFmtId="0" fontId="0" fillId="2" borderId="1" xfId="0" applyFill="1" applyBorder="1" applyAlignment="1">
      <alignment vertical="top" wrapText="1"/>
    </xf>
    <xf numFmtId="0" fontId="4" fillId="3" borderId="1" xfId="0" applyFont="1" applyFill="1" applyBorder="1" applyAlignment="1">
      <alignment vertical="center" wrapText="1"/>
    </xf>
    <xf numFmtId="164" fontId="0" fillId="2" borderId="1" xfId="0" applyNumberFormat="1" applyFill="1" applyBorder="1" applyAlignment="1">
      <alignment vertical="top" wrapText="1"/>
    </xf>
    <xf numFmtId="0" fontId="0" fillId="4" borderId="2" xfId="0" applyFill="1" applyBorder="1" applyAlignment="1">
      <alignment vertical="top" wrapText="1"/>
    </xf>
    <xf numFmtId="0" fontId="0" fillId="2" borderId="2" xfId="0" applyFill="1" applyBorder="1" applyAlignment="1">
      <alignment vertical="top" wrapText="1"/>
    </xf>
    <xf numFmtId="0" fontId="0" fillId="0" borderId="1" xfId="0" applyBorder="1" applyAlignment="1">
      <alignment vertical="top" wrapText="1"/>
    </xf>
    <xf numFmtId="14" fontId="0" fillId="2" borderId="1" xfId="0" applyNumberFormat="1" applyFill="1" applyBorder="1" applyAlignment="1">
      <alignment vertical="top" wrapText="1"/>
    </xf>
    <xf numFmtId="164" fontId="7" fillId="5" borderId="1" xfId="0" applyNumberFormat="1" applyFont="1" applyFill="1" applyBorder="1" applyAlignment="1">
      <alignment vertical="top" wrapText="1"/>
    </xf>
  </cellXfs>
  <cellStyles count="1">
    <cellStyle name="Normal" xfId="0" builtinId="0"/>
  </cellStyles>
  <dxfs count="1">
    <dxf>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zoomScale="150" workbookViewId="0"/>
  </sheetViews>
  <sheetFormatPr baseColWidth="10" defaultColWidth="8.83203125" defaultRowHeight="15" x14ac:dyDescent="0.2"/>
  <cols>
    <col min="1" max="1" width="110" customWidth="1"/>
  </cols>
  <sheetData>
    <row r="1" spans="1:1" ht="20" x14ac:dyDescent="0.2">
      <c r="A1" s="1" t="s">
        <v>0</v>
      </c>
    </row>
    <row r="2" spans="1:1" ht="16" x14ac:dyDescent="0.2">
      <c r="A2" s="2" t="s">
        <v>1</v>
      </c>
    </row>
    <row r="3" spans="1:1" x14ac:dyDescent="0.2">
      <c r="A3" s="2"/>
    </row>
    <row r="4" spans="1:1" ht="16" x14ac:dyDescent="0.2">
      <c r="A4" s="2" t="s">
        <v>2</v>
      </c>
    </row>
    <row r="5" spans="1:1" ht="16" x14ac:dyDescent="0.2">
      <c r="A5" s="2" t="s">
        <v>3</v>
      </c>
    </row>
    <row r="6" spans="1:1" ht="16" x14ac:dyDescent="0.2">
      <c r="A6" s="2" t="s">
        <v>4</v>
      </c>
    </row>
    <row r="7" spans="1:1" ht="32" x14ac:dyDescent="0.2">
      <c r="A7" s="2" t="s">
        <v>5</v>
      </c>
    </row>
    <row r="8" spans="1:1" ht="16" x14ac:dyDescent="0.2">
      <c r="A8" s="2" t="s">
        <v>6</v>
      </c>
    </row>
    <row r="9" spans="1:1" ht="16" x14ac:dyDescent="0.2">
      <c r="A9" s="2" t="s">
        <v>7</v>
      </c>
    </row>
    <row r="10" spans="1:1" ht="16" x14ac:dyDescent="0.2">
      <c r="A10"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
  <sheetViews>
    <sheetView workbookViewId="0">
      <selection activeCell="B21" sqref="B21"/>
    </sheetView>
  </sheetViews>
  <sheetFormatPr baseColWidth="10" defaultColWidth="8.83203125" defaultRowHeight="15" x14ac:dyDescent="0.2"/>
  <cols>
    <col min="1" max="1" width="48" customWidth="1"/>
    <col min="2" max="2" width="30" customWidth="1"/>
    <col min="3" max="3" width="55" customWidth="1"/>
    <col min="4" max="4" width="79.83203125" bestFit="1" customWidth="1"/>
  </cols>
  <sheetData>
    <row r="1" spans="1:4" ht="17" x14ac:dyDescent="0.2">
      <c r="A1" s="3" t="s">
        <v>9</v>
      </c>
    </row>
    <row r="2" spans="1:4" x14ac:dyDescent="0.2">
      <c r="A2" s="4" t="s">
        <v>10</v>
      </c>
      <c r="B2" s="5" t="s">
        <v>225</v>
      </c>
    </row>
    <row r="3" spans="1:4" x14ac:dyDescent="0.2">
      <c r="A3" s="4" t="s">
        <v>11</v>
      </c>
      <c r="B3" s="5" t="s">
        <v>229</v>
      </c>
    </row>
    <row r="4" spans="1:4" x14ac:dyDescent="0.2">
      <c r="A4" s="4" t="s">
        <v>12</v>
      </c>
      <c r="B4" s="5" t="s">
        <v>228</v>
      </c>
    </row>
    <row r="5" spans="1:4" x14ac:dyDescent="0.2">
      <c r="A5" s="4" t="s">
        <v>13</v>
      </c>
      <c r="B5" s="5" t="s">
        <v>233</v>
      </c>
    </row>
    <row r="6" spans="1:4" x14ac:dyDescent="0.2">
      <c r="A6" s="4" t="s">
        <v>14</v>
      </c>
      <c r="B6" s="5" t="s">
        <v>93</v>
      </c>
    </row>
    <row r="7" spans="1:4" x14ac:dyDescent="0.2">
      <c r="A7" s="4" t="s">
        <v>15</v>
      </c>
      <c r="B7" s="5" t="s">
        <v>94</v>
      </c>
    </row>
    <row r="8" spans="1:4" x14ac:dyDescent="0.2">
      <c r="A8" s="4" t="s">
        <v>16</v>
      </c>
      <c r="B8" s="5" t="s">
        <v>99</v>
      </c>
    </row>
    <row r="10" spans="1:4" ht="17" x14ac:dyDescent="0.2">
      <c r="A10" s="3" t="s">
        <v>17</v>
      </c>
    </row>
    <row r="11" spans="1:4" x14ac:dyDescent="0.2">
      <c r="A11" s="6" t="s">
        <v>18</v>
      </c>
      <c r="B11" s="6" t="s">
        <v>19</v>
      </c>
      <c r="C11" s="6" t="s">
        <v>20</v>
      </c>
      <c r="D11" s="6" t="s">
        <v>21</v>
      </c>
    </row>
    <row r="12" spans="1:4" ht="16" x14ac:dyDescent="0.2">
      <c r="A12" s="7" t="s">
        <v>22</v>
      </c>
      <c r="B12" s="8" t="s">
        <v>95</v>
      </c>
      <c r="C12" s="7" t="s">
        <v>23</v>
      </c>
      <c r="D12" s="14">
        <v>46298</v>
      </c>
    </row>
    <row r="13" spans="1:4" ht="16" x14ac:dyDescent="0.2">
      <c r="A13" s="7" t="s">
        <v>24</v>
      </c>
      <c r="B13" s="8" t="s">
        <v>96</v>
      </c>
      <c r="C13" s="7" t="s">
        <v>25</v>
      </c>
      <c r="D13" s="14">
        <v>46298</v>
      </c>
    </row>
    <row r="14" spans="1:4" ht="16" x14ac:dyDescent="0.2">
      <c r="A14" s="7" t="s">
        <v>26</v>
      </c>
      <c r="B14" s="8" t="s">
        <v>97</v>
      </c>
      <c r="C14" s="7" t="s">
        <v>27</v>
      </c>
      <c r="D14" s="14">
        <v>46298</v>
      </c>
    </row>
    <row r="15" spans="1:4" ht="32" x14ac:dyDescent="0.2">
      <c r="A15" s="7" t="s">
        <v>28</v>
      </c>
      <c r="B15" s="8" t="s">
        <v>100</v>
      </c>
      <c r="C15" s="7" t="s">
        <v>101</v>
      </c>
      <c r="D15" s="14">
        <v>46298</v>
      </c>
    </row>
    <row r="16" spans="1:4" ht="32" x14ac:dyDescent="0.2">
      <c r="A16" s="7" t="s">
        <v>29</v>
      </c>
      <c r="B16" s="8" t="s">
        <v>153</v>
      </c>
      <c r="C16" s="7" t="s">
        <v>226</v>
      </c>
      <c r="D16" s="14">
        <v>46298</v>
      </c>
    </row>
    <row r="17" spans="1:4" ht="16" x14ac:dyDescent="0.2">
      <c r="A17" s="7" t="s">
        <v>30</v>
      </c>
      <c r="B17" s="8" t="s">
        <v>98</v>
      </c>
      <c r="C17" s="7" t="s">
        <v>31</v>
      </c>
      <c r="D17" s="14">
        <v>46298</v>
      </c>
    </row>
    <row r="18" spans="1:4" ht="32" x14ac:dyDescent="0.2">
      <c r="A18" s="7" t="s">
        <v>32</v>
      </c>
      <c r="B18" s="8" t="s">
        <v>224</v>
      </c>
      <c r="C18" s="7" t="s">
        <v>227</v>
      </c>
      <c r="D18" s="14">
        <v>46298</v>
      </c>
    </row>
    <row r="21" spans="1:4" ht="17" x14ac:dyDescent="0.2">
      <c r="A21" s="3" t="s">
        <v>33</v>
      </c>
    </row>
    <row r="22" spans="1:4" x14ac:dyDescent="0.2">
      <c r="A22" t="s">
        <v>34</v>
      </c>
      <c r="B22">
        <f>COUNTA(Results!F2:F71)</f>
        <v>70</v>
      </c>
    </row>
    <row r="23" spans="1:4" x14ac:dyDescent="0.2">
      <c r="A23" t="s">
        <v>35</v>
      </c>
      <c r="B23">
        <v>70</v>
      </c>
    </row>
    <row r="24" spans="1:4" x14ac:dyDescent="0.2">
      <c r="A24" t="s">
        <v>36</v>
      </c>
      <c r="B24">
        <f>COUNTIFS(Results!F2:F71,"&lt;&gt;",Results!H2:H71,"")</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1"/>
  <sheetViews>
    <sheetView tabSelected="1" workbookViewId="0">
      <pane xSplit="5" ySplit="1" topLeftCell="F62" activePane="bottomRight" state="frozen"/>
      <selection pane="topRight"/>
      <selection pane="bottomLeft"/>
      <selection pane="bottomRight" activeCell="G70" sqref="G70"/>
    </sheetView>
  </sheetViews>
  <sheetFormatPr baseColWidth="10" defaultColWidth="8.83203125" defaultRowHeight="15" x14ac:dyDescent="0.2"/>
  <cols>
    <col min="1" max="1" width="16" customWidth="1"/>
    <col min="2" max="2" width="12" customWidth="1"/>
    <col min="3" max="3" width="13" customWidth="1"/>
    <col min="4" max="4" width="22" customWidth="1"/>
    <col min="5" max="6" width="10" customWidth="1"/>
    <col min="7" max="7" width="45" customWidth="1"/>
    <col min="8" max="8" width="55" customWidth="1"/>
    <col min="9" max="9" width="22" customWidth="1"/>
    <col min="10" max="10" width="35" customWidth="1"/>
  </cols>
  <sheetData>
    <row r="1" spans="1:10" ht="16" x14ac:dyDescent="0.2">
      <c r="A1" s="9" t="s">
        <v>37</v>
      </c>
      <c r="B1" s="9" t="s">
        <v>19</v>
      </c>
      <c r="C1" s="9" t="s">
        <v>21</v>
      </c>
      <c r="D1" s="9" t="s">
        <v>38</v>
      </c>
      <c r="E1" s="9" t="s">
        <v>39</v>
      </c>
      <c r="F1" s="9" t="s">
        <v>40</v>
      </c>
      <c r="G1" s="9" t="s">
        <v>41</v>
      </c>
      <c r="H1" s="9" t="s">
        <v>42</v>
      </c>
      <c r="I1" s="9" t="s">
        <v>43</v>
      </c>
      <c r="J1" s="9" t="s">
        <v>44</v>
      </c>
    </row>
    <row r="2" spans="1:10" ht="48" customHeight="1" x14ac:dyDescent="0.2">
      <c r="A2" s="7" t="s">
        <v>22</v>
      </c>
      <c r="B2" s="10" t="s">
        <v>95</v>
      </c>
      <c r="C2" s="10">
        <v>46298</v>
      </c>
      <c r="D2" s="7" t="s">
        <v>45</v>
      </c>
      <c r="E2" s="7" t="s">
        <v>46</v>
      </c>
      <c r="F2" s="8" t="s">
        <v>103</v>
      </c>
      <c r="G2" s="8" t="s">
        <v>104</v>
      </c>
      <c r="H2" s="8" t="s">
        <v>236</v>
      </c>
      <c r="I2" s="8" t="s">
        <v>105</v>
      </c>
      <c r="J2" s="8"/>
    </row>
    <row r="3" spans="1:10" ht="48" customHeight="1" x14ac:dyDescent="0.2">
      <c r="A3" s="7" t="s">
        <v>22</v>
      </c>
      <c r="B3" s="10" t="s">
        <v>95</v>
      </c>
      <c r="C3" s="10">
        <v>46298</v>
      </c>
      <c r="D3" s="7" t="s">
        <v>45</v>
      </c>
      <c r="E3" s="7" t="s">
        <v>47</v>
      </c>
      <c r="F3" s="8" t="s">
        <v>106</v>
      </c>
      <c r="G3" s="8" t="s">
        <v>238</v>
      </c>
      <c r="H3" s="8" t="s">
        <v>237</v>
      </c>
      <c r="I3" s="8" t="s">
        <v>111</v>
      </c>
      <c r="J3" s="8"/>
    </row>
    <row r="4" spans="1:10" ht="48" customHeight="1" x14ac:dyDescent="0.2">
      <c r="A4" s="7" t="s">
        <v>22</v>
      </c>
      <c r="B4" s="10" t="s">
        <v>95</v>
      </c>
      <c r="C4" s="10">
        <v>46298</v>
      </c>
      <c r="D4" s="7" t="s">
        <v>45</v>
      </c>
      <c r="E4" s="7" t="s">
        <v>48</v>
      </c>
      <c r="F4" s="8" t="s">
        <v>106</v>
      </c>
      <c r="G4" s="8" t="s">
        <v>239</v>
      </c>
      <c r="H4" s="8" t="s">
        <v>240</v>
      </c>
      <c r="I4" s="8" t="s">
        <v>107</v>
      </c>
      <c r="J4" s="8"/>
    </row>
    <row r="5" spans="1:10" ht="48" customHeight="1" x14ac:dyDescent="0.2">
      <c r="A5" s="7" t="s">
        <v>22</v>
      </c>
      <c r="B5" s="10" t="s">
        <v>95</v>
      </c>
      <c r="C5" s="10">
        <v>46298</v>
      </c>
      <c r="D5" s="7" t="s">
        <v>45</v>
      </c>
      <c r="E5" s="7" t="s">
        <v>49</v>
      </c>
      <c r="F5" s="8" t="s">
        <v>108</v>
      </c>
      <c r="G5" s="8" t="s">
        <v>241</v>
      </c>
      <c r="H5" s="8" t="s">
        <v>242</v>
      </c>
      <c r="I5" s="8" t="s">
        <v>109</v>
      </c>
      <c r="J5" s="8"/>
    </row>
    <row r="6" spans="1:10" ht="48" customHeight="1" x14ac:dyDescent="0.2">
      <c r="A6" s="7" t="s">
        <v>22</v>
      </c>
      <c r="B6" s="15" t="s">
        <v>95</v>
      </c>
      <c r="C6" s="10">
        <v>46298</v>
      </c>
      <c r="D6" s="7" t="s">
        <v>45</v>
      </c>
      <c r="E6" s="7" t="s">
        <v>50</v>
      </c>
      <c r="F6" s="8" t="s">
        <v>106</v>
      </c>
      <c r="G6" s="8" t="s">
        <v>243</v>
      </c>
      <c r="H6" s="8" t="s">
        <v>244</v>
      </c>
      <c r="I6" s="8" t="s">
        <v>110</v>
      </c>
      <c r="J6" s="8"/>
    </row>
    <row r="7" spans="1:10" ht="48" customHeight="1" x14ac:dyDescent="0.2">
      <c r="A7" s="7" t="s">
        <v>22</v>
      </c>
      <c r="B7" s="15" t="s">
        <v>95</v>
      </c>
      <c r="C7" s="10">
        <v>46298</v>
      </c>
      <c r="D7" s="7" t="s">
        <v>45</v>
      </c>
      <c r="E7" s="7" t="s">
        <v>51</v>
      </c>
      <c r="F7" s="8" t="s">
        <v>106</v>
      </c>
      <c r="G7" s="8" t="s">
        <v>245</v>
      </c>
      <c r="H7" s="8" t="s">
        <v>246</v>
      </c>
      <c r="I7" s="8" t="s">
        <v>112</v>
      </c>
      <c r="J7" s="8"/>
    </row>
    <row r="8" spans="1:10" ht="48" customHeight="1" x14ac:dyDescent="0.2">
      <c r="A8" s="7" t="s">
        <v>22</v>
      </c>
      <c r="B8" s="15" t="s">
        <v>95</v>
      </c>
      <c r="C8" s="10">
        <v>46298</v>
      </c>
      <c r="D8" s="7" t="s">
        <v>45</v>
      </c>
      <c r="E8" s="7" t="s">
        <v>52</v>
      </c>
      <c r="F8" s="8" t="s">
        <v>103</v>
      </c>
      <c r="G8" s="8" t="s">
        <v>247</v>
      </c>
      <c r="H8" s="8" t="s">
        <v>248</v>
      </c>
      <c r="I8" s="8" t="s">
        <v>113</v>
      </c>
      <c r="J8" s="8"/>
    </row>
    <row r="9" spans="1:10" ht="48" customHeight="1" x14ac:dyDescent="0.2">
      <c r="A9" s="7" t="s">
        <v>22</v>
      </c>
      <c r="B9" s="15" t="s">
        <v>95</v>
      </c>
      <c r="C9" s="10">
        <v>46298</v>
      </c>
      <c r="D9" s="7" t="s">
        <v>45</v>
      </c>
      <c r="E9" s="7" t="s">
        <v>53</v>
      </c>
      <c r="F9" s="8" t="s">
        <v>103</v>
      </c>
      <c r="G9" s="8" t="s">
        <v>249</v>
      </c>
      <c r="H9" s="8" t="s">
        <v>250</v>
      </c>
      <c r="I9" s="8" t="s">
        <v>114</v>
      </c>
      <c r="J9" s="8"/>
    </row>
    <row r="10" spans="1:10" ht="48" customHeight="1" x14ac:dyDescent="0.2">
      <c r="A10" s="7" t="s">
        <v>22</v>
      </c>
      <c r="B10" s="15" t="s">
        <v>95</v>
      </c>
      <c r="C10" s="10">
        <v>46298</v>
      </c>
      <c r="D10" s="7" t="s">
        <v>45</v>
      </c>
      <c r="E10" s="7" t="s">
        <v>54</v>
      </c>
      <c r="F10" s="8" t="s">
        <v>103</v>
      </c>
      <c r="G10" s="8" t="s">
        <v>251</v>
      </c>
      <c r="H10" s="8" t="s">
        <v>251</v>
      </c>
      <c r="I10" s="8" t="s">
        <v>116</v>
      </c>
      <c r="J10" s="8"/>
    </row>
    <row r="11" spans="1:10" ht="48" customHeight="1" thickBot="1" x14ac:dyDescent="0.25">
      <c r="A11" s="11" t="s">
        <v>22</v>
      </c>
      <c r="B11" s="15" t="s">
        <v>95</v>
      </c>
      <c r="C11" s="10">
        <v>46298</v>
      </c>
      <c r="D11" s="11" t="s">
        <v>45</v>
      </c>
      <c r="E11" s="11" t="s">
        <v>55</v>
      </c>
      <c r="F11" s="12">
        <v>6</v>
      </c>
      <c r="G11" s="12" t="s">
        <v>252</v>
      </c>
      <c r="H11" s="12" t="s">
        <v>253</v>
      </c>
      <c r="I11" s="12" t="s">
        <v>102</v>
      </c>
      <c r="J11" s="12" t="s">
        <v>115</v>
      </c>
    </row>
    <row r="12" spans="1:10" ht="48" customHeight="1" x14ac:dyDescent="0.2">
      <c r="A12" s="7" t="s">
        <v>24</v>
      </c>
      <c r="B12" s="8" t="s">
        <v>96</v>
      </c>
      <c r="C12" s="10">
        <v>46298</v>
      </c>
      <c r="D12" s="7" t="s">
        <v>45</v>
      </c>
      <c r="E12" s="7" t="s">
        <v>46</v>
      </c>
      <c r="F12" s="8" t="s">
        <v>103</v>
      </c>
      <c r="G12" s="8" t="s">
        <v>254</v>
      </c>
      <c r="H12" s="8" t="s">
        <v>255</v>
      </c>
      <c r="I12" s="8" t="s">
        <v>119</v>
      </c>
      <c r="J12" s="8"/>
    </row>
    <row r="13" spans="1:10" ht="48" customHeight="1" x14ac:dyDescent="0.2">
      <c r="A13" s="7" t="s">
        <v>24</v>
      </c>
      <c r="B13" s="8" t="s">
        <v>96</v>
      </c>
      <c r="C13" s="10">
        <v>46298</v>
      </c>
      <c r="D13" s="7" t="s">
        <v>45</v>
      </c>
      <c r="E13" s="7" t="s">
        <v>47</v>
      </c>
      <c r="F13" s="8" t="s">
        <v>108</v>
      </c>
      <c r="G13" s="8" t="s">
        <v>256</v>
      </c>
      <c r="H13" s="8" t="s">
        <v>257</v>
      </c>
      <c r="I13" s="8" t="s">
        <v>120</v>
      </c>
      <c r="J13" s="8"/>
    </row>
    <row r="14" spans="1:10" ht="48" customHeight="1" x14ac:dyDescent="0.2">
      <c r="A14" s="7" t="s">
        <v>24</v>
      </c>
      <c r="B14" s="8" t="s">
        <v>96</v>
      </c>
      <c r="C14" s="10">
        <v>46298</v>
      </c>
      <c r="D14" s="7" t="s">
        <v>45</v>
      </c>
      <c r="E14" s="7" t="s">
        <v>48</v>
      </c>
      <c r="F14" s="8" t="s">
        <v>106</v>
      </c>
      <c r="G14" s="8" t="s">
        <v>258</v>
      </c>
      <c r="H14" s="8" t="s">
        <v>259</v>
      </c>
      <c r="I14" s="8" t="s">
        <v>121</v>
      </c>
      <c r="J14" s="8"/>
    </row>
    <row r="15" spans="1:10" ht="48" customHeight="1" x14ac:dyDescent="0.2">
      <c r="A15" s="7" t="s">
        <v>24</v>
      </c>
      <c r="B15" s="8" t="s">
        <v>96</v>
      </c>
      <c r="C15" s="10">
        <v>46298</v>
      </c>
      <c r="D15" s="7" t="s">
        <v>45</v>
      </c>
      <c r="E15" s="7" t="s">
        <v>49</v>
      </c>
      <c r="F15" s="8" t="s">
        <v>108</v>
      </c>
      <c r="G15" s="8" t="s">
        <v>260</v>
      </c>
      <c r="H15" s="8" t="s">
        <v>261</v>
      </c>
      <c r="I15" s="8" t="s">
        <v>122</v>
      </c>
      <c r="J15" s="8"/>
    </row>
    <row r="16" spans="1:10" ht="48" customHeight="1" x14ac:dyDescent="0.2">
      <c r="A16" s="7" t="s">
        <v>24</v>
      </c>
      <c r="B16" s="8" t="s">
        <v>96</v>
      </c>
      <c r="C16" s="10">
        <v>46298</v>
      </c>
      <c r="D16" s="7" t="s">
        <v>45</v>
      </c>
      <c r="E16" s="7" t="s">
        <v>50</v>
      </c>
      <c r="F16" s="8" t="s">
        <v>106</v>
      </c>
      <c r="G16" s="8" t="s">
        <v>262</v>
      </c>
      <c r="H16" s="8" t="s">
        <v>263</v>
      </c>
      <c r="I16" s="8" t="s">
        <v>123</v>
      </c>
      <c r="J16" s="8"/>
    </row>
    <row r="17" spans="1:10" ht="48" customHeight="1" x14ac:dyDescent="0.2">
      <c r="A17" s="7" t="s">
        <v>24</v>
      </c>
      <c r="B17" s="8" t="s">
        <v>96</v>
      </c>
      <c r="C17" s="10">
        <v>46298</v>
      </c>
      <c r="D17" s="7" t="s">
        <v>45</v>
      </c>
      <c r="E17" s="7" t="s">
        <v>51</v>
      </c>
      <c r="F17" s="8" t="s">
        <v>106</v>
      </c>
      <c r="G17" s="8" t="s">
        <v>264</v>
      </c>
      <c r="H17" s="8" t="s">
        <v>246</v>
      </c>
      <c r="I17" s="8" t="s">
        <v>124</v>
      </c>
      <c r="J17" s="8"/>
    </row>
    <row r="18" spans="1:10" ht="48" customHeight="1" x14ac:dyDescent="0.2">
      <c r="A18" s="7" t="s">
        <v>24</v>
      </c>
      <c r="B18" s="8" t="s">
        <v>96</v>
      </c>
      <c r="C18" s="10">
        <v>46298</v>
      </c>
      <c r="D18" s="7" t="s">
        <v>45</v>
      </c>
      <c r="E18" s="7" t="s">
        <v>52</v>
      </c>
      <c r="F18" s="8" t="s">
        <v>103</v>
      </c>
      <c r="G18" s="8" t="s">
        <v>265</v>
      </c>
      <c r="H18" s="8" t="s">
        <v>266</v>
      </c>
      <c r="I18" s="8" t="s">
        <v>125</v>
      </c>
      <c r="J18" s="8"/>
    </row>
    <row r="19" spans="1:10" ht="48" customHeight="1" x14ac:dyDescent="0.2">
      <c r="A19" s="7" t="s">
        <v>24</v>
      </c>
      <c r="B19" s="8" t="s">
        <v>96</v>
      </c>
      <c r="C19" s="10">
        <v>46298</v>
      </c>
      <c r="D19" s="7" t="s">
        <v>45</v>
      </c>
      <c r="E19" s="7" t="s">
        <v>53</v>
      </c>
      <c r="F19" s="8" t="s">
        <v>103</v>
      </c>
      <c r="G19" s="8" t="s">
        <v>267</v>
      </c>
      <c r="H19" s="8" t="s">
        <v>268</v>
      </c>
      <c r="I19" s="8" t="s">
        <v>126</v>
      </c>
      <c r="J19" s="8"/>
    </row>
    <row r="20" spans="1:10" ht="48" customHeight="1" x14ac:dyDescent="0.2">
      <c r="A20" s="7" t="s">
        <v>24</v>
      </c>
      <c r="B20" s="8" t="s">
        <v>96</v>
      </c>
      <c r="C20" s="10">
        <v>46298</v>
      </c>
      <c r="D20" s="7" t="s">
        <v>45</v>
      </c>
      <c r="E20" s="7" t="s">
        <v>54</v>
      </c>
      <c r="F20" s="8" t="s">
        <v>103</v>
      </c>
      <c r="G20" s="8" t="s">
        <v>269</v>
      </c>
      <c r="H20" s="8" t="s">
        <v>270</v>
      </c>
      <c r="I20" s="8" t="s">
        <v>127</v>
      </c>
      <c r="J20" s="8"/>
    </row>
    <row r="21" spans="1:10" ht="48" customHeight="1" thickBot="1" x14ac:dyDescent="0.25">
      <c r="A21" s="11" t="s">
        <v>24</v>
      </c>
      <c r="B21" s="8" t="s">
        <v>96</v>
      </c>
      <c r="C21" s="10">
        <v>46298</v>
      </c>
      <c r="D21" s="11" t="s">
        <v>45</v>
      </c>
      <c r="E21" s="11" t="s">
        <v>55</v>
      </c>
      <c r="F21" s="12">
        <v>4</v>
      </c>
      <c r="G21" s="12" t="s">
        <v>271</v>
      </c>
      <c r="H21" s="12" t="s">
        <v>272</v>
      </c>
      <c r="I21" s="12" t="s">
        <v>117</v>
      </c>
      <c r="J21" s="12" t="s">
        <v>118</v>
      </c>
    </row>
    <row r="22" spans="1:10" ht="48" customHeight="1" x14ac:dyDescent="0.2">
      <c r="A22" s="7" t="s">
        <v>26</v>
      </c>
      <c r="B22" s="8" t="s">
        <v>97</v>
      </c>
      <c r="C22" s="10">
        <v>46298</v>
      </c>
      <c r="D22" s="7" t="s">
        <v>56</v>
      </c>
      <c r="E22" s="7" t="s">
        <v>46</v>
      </c>
      <c r="F22" s="8" t="s">
        <v>103</v>
      </c>
      <c r="G22" s="8" t="s">
        <v>273</v>
      </c>
      <c r="H22" s="8" t="s">
        <v>274</v>
      </c>
      <c r="I22" s="8" t="s">
        <v>142</v>
      </c>
      <c r="J22" s="8"/>
    </row>
    <row r="23" spans="1:10" ht="48" customHeight="1" x14ac:dyDescent="0.2">
      <c r="A23" s="7" t="s">
        <v>26</v>
      </c>
      <c r="B23" s="8" t="s">
        <v>97</v>
      </c>
      <c r="C23" s="10">
        <v>46298</v>
      </c>
      <c r="D23" s="7" t="s">
        <v>56</v>
      </c>
      <c r="E23" s="7" t="s">
        <v>47</v>
      </c>
      <c r="F23" s="8" t="s">
        <v>106</v>
      </c>
      <c r="G23" s="8" t="s">
        <v>275</v>
      </c>
      <c r="H23" s="8" t="s">
        <v>276</v>
      </c>
      <c r="I23" s="8" t="s">
        <v>130</v>
      </c>
      <c r="J23" s="8"/>
    </row>
    <row r="24" spans="1:10" ht="48" customHeight="1" x14ac:dyDescent="0.2">
      <c r="A24" s="7" t="s">
        <v>26</v>
      </c>
      <c r="B24" s="8" t="s">
        <v>97</v>
      </c>
      <c r="C24" s="10">
        <v>46298</v>
      </c>
      <c r="D24" s="7" t="s">
        <v>56</v>
      </c>
      <c r="E24" s="7" t="s">
        <v>48</v>
      </c>
      <c r="F24" s="8" t="s">
        <v>103</v>
      </c>
      <c r="G24" s="8" t="s">
        <v>277</v>
      </c>
      <c r="H24" s="8" t="s">
        <v>278</v>
      </c>
      <c r="I24" s="8" t="s">
        <v>131</v>
      </c>
      <c r="J24" s="8"/>
    </row>
    <row r="25" spans="1:10" ht="48" customHeight="1" x14ac:dyDescent="0.2">
      <c r="A25" s="7" t="s">
        <v>26</v>
      </c>
      <c r="B25" s="8" t="s">
        <v>97</v>
      </c>
      <c r="C25" s="10">
        <v>46298</v>
      </c>
      <c r="D25" s="7" t="s">
        <v>56</v>
      </c>
      <c r="E25" s="7" t="s">
        <v>49</v>
      </c>
      <c r="F25" s="8" t="s">
        <v>108</v>
      </c>
      <c r="G25" s="8" t="s">
        <v>279</v>
      </c>
      <c r="H25" s="8" t="s">
        <v>280</v>
      </c>
      <c r="I25" s="8" t="s">
        <v>132</v>
      </c>
      <c r="J25" s="8" t="s">
        <v>133</v>
      </c>
    </row>
    <row r="26" spans="1:10" ht="48" customHeight="1" x14ac:dyDescent="0.2">
      <c r="A26" s="7" t="s">
        <v>26</v>
      </c>
      <c r="B26" s="8" t="s">
        <v>97</v>
      </c>
      <c r="C26" s="10">
        <v>46298</v>
      </c>
      <c r="D26" s="7" t="s">
        <v>56</v>
      </c>
      <c r="E26" s="7" t="s">
        <v>50</v>
      </c>
      <c r="F26" s="8" t="s">
        <v>108</v>
      </c>
      <c r="G26" s="8" t="s">
        <v>281</v>
      </c>
      <c r="H26" s="8" t="s">
        <v>282</v>
      </c>
      <c r="I26" s="8" t="s">
        <v>134</v>
      </c>
      <c r="J26" s="8"/>
    </row>
    <row r="27" spans="1:10" ht="48" customHeight="1" x14ac:dyDescent="0.2">
      <c r="A27" s="7" t="s">
        <v>26</v>
      </c>
      <c r="B27" s="8" t="s">
        <v>97</v>
      </c>
      <c r="C27" s="10">
        <v>46298</v>
      </c>
      <c r="D27" s="7" t="s">
        <v>56</v>
      </c>
      <c r="E27" s="7" t="s">
        <v>51</v>
      </c>
      <c r="F27" s="8" t="s">
        <v>106</v>
      </c>
      <c r="G27" s="8" t="s">
        <v>283</v>
      </c>
      <c r="H27" s="8" t="s">
        <v>284</v>
      </c>
      <c r="I27" s="8" t="s">
        <v>135</v>
      </c>
      <c r="J27" s="8"/>
    </row>
    <row r="28" spans="1:10" ht="48" customHeight="1" x14ac:dyDescent="0.2">
      <c r="A28" s="7" t="s">
        <v>26</v>
      </c>
      <c r="B28" s="8" t="s">
        <v>97</v>
      </c>
      <c r="C28" s="10">
        <v>46298</v>
      </c>
      <c r="D28" s="7" t="s">
        <v>56</v>
      </c>
      <c r="E28" s="7" t="s">
        <v>52</v>
      </c>
      <c r="F28" s="8" t="s">
        <v>136</v>
      </c>
      <c r="G28" s="8" t="s">
        <v>286</v>
      </c>
      <c r="H28" s="8" t="s">
        <v>285</v>
      </c>
      <c r="I28" s="8" t="s">
        <v>137</v>
      </c>
      <c r="J28" s="8" t="s">
        <v>138</v>
      </c>
    </row>
    <row r="29" spans="1:10" ht="48" customHeight="1" x14ac:dyDescent="0.2">
      <c r="A29" s="7" t="s">
        <v>26</v>
      </c>
      <c r="B29" s="8" t="s">
        <v>97</v>
      </c>
      <c r="C29" s="10">
        <v>46298</v>
      </c>
      <c r="D29" s="7" t="s">
        <v>56</v>
      </c>
      <c r="E29" s="7" t="s">
        <v>53</v>
      </c>
      <c r="F29" s="8" t="s">
        <v>106</v>
      </c>
      <c r="G29" s="8" t="s">
        <v>287</v>
      </c>
      <c r="H29" s="8" t="s">
        <v>288</v>
      </c>
      <c r="I29" s="8" t="s">
        <v>139</v>
      </c>
      <c r="J29" s="8"/>
    </row>
    <row r="30" spans="1:10" ht="48" customHeight="1" x14ac:dyDescent="0.2">
      <c r="A30" s="7" t="s">
        <v>26</v>
      </c>
      <c r="B30" s="8" t="s">
        <v>97</v>
      </c>
      <c r="C30" s="10">
        <v>46298</v>
      </c>
      <c r="D30" s="7" t="s">
        <v>56</v>
      </c>
      <c r="E30" s="7" t="s">
        <v>54</v>
      </c>
      <c r="F30" s="8" t="s">
        <v>103</v>
      </c>
      <c r="G30" s="8" t="s">
        <v>140</v>
      </c>
      <c r="H30" s="8" t="s">
        <v>289</v>
      </c>
      <c r="I30" s="8" t="s">
        <v>141</v>
      </c>
      <c r="J30" s="8"/>
    </row>
    <row r="31" spans="1:10" ht="48" customHeight="1" thickBot="1" x14ac:dyDescent="0.25">
      <c r="A31" s="11" t="s">
        <v>26</v>
      </c>
      <c r="B31" s="8" t="s">
        <v>97</v>
      </c>
      <c r="C31" s="10">
        <v>46298</v>
      </c>
      <c r="D31" s="11" t="s">
        <v>56</v>
      </c>
      <c r="E31" s="11" t="s">
        <v>55</v>
      </c>
      <c r="F31" s="12">
        <v>4</v>
      </c>
      <c r="G31" s="12" t="s">
        <v>143</v>
      </c>
      <c r="H31" s="12" t="s">
        <v>290</v>
      </c>
      <c r="I31" s="12" t="s">
        <v>129</v>
      </c>
      <c r="J31" s="12" t="s">
        <v>128</v>
      </c>
    </row>
    <row r="32" spans="1:10" ht="48" customHeight="1" x14ac:dyDescent="0.2">
      <c r="A32" s="7" t="s">
        <v>28</v>
      </c>
      <c r="B32" s="8" t="s">
        <v>100</v>
      </c>
      <c r="C32" s="10">
        <v>46298</v>
      </c>
      <c r="D32" s="7" t="s">
        <v>57</v>
      </c>
      <c r="E32" s="7" t="s">
        <v>46</v>
      </c>
      <c r="F32" s="8" t="s">
        <v>103</v>
      </c>
      <c r="G32" s="8" t="s">
        <v>291</v>
      </c>
      <c r="H32" s="8" t="s">
        <v>292</v>
      </c>
      <c r="I32" s="8" t="s">
        <v>144</v>
      </c>
      <c r="J32" s="8"/>
    </row>
    <row r="33" spans="1:10" ht="48" customHeight="1" x14ac:dyDescent="0.2">
      <c r="A33" s="7" t="s">
        <v>28</v>
      </c>
      <c r="B33" s="8" t="s">
        <v>100</v>
      </c>
      <c r="C33" s="10">
        <v>46298</v>
      </c>
      <c r="D33" s="7" t="s">
        <v>57</v>
      </c>
      <c r="E33" s="7" t="s">
        <v>47</v>
      </c>
      <c r="F33" s="8" t="s">
        <v>106</v>
      </c>
      <c r="G33" s="8" t="s">
        <v>293</v>
      </c>
      <c r="H33" s="8" t="s">
        <v>276</v>
      </c>
      <c r="I33" s="8" t="s">
        <v>145</v>
      </c>
      <c r="J33" s="8"/>
    </row>
    <row r="34" spans="1:10" ht="48" customHeight="1" x14ac:dyDescent="0.2">
      <c r="A34" s="7" t="s">
        <v>28</v>
      </c>
      <c r="B34" s="8" t="s">
        <v>100</v>
      </c>
      <c r="C34" s="10">
        <v>46298</v>
      </c>
      <c r="D34" s="7" t="s">
        <v>57</v>
      </c>
      <c r="E34" s="7" t="s">
        <v>48</v>
      </c>
      <c r="F34" s="8" t="s">
        <v>106</v>
      </c>
      <c r="G34" s="8" t="s">
        <v>294</v>
      </c>
      <c r="H34" s="8" t="s">
        <v>295</v>
      </c>
      <c r="I34" s="8" t="s">
        <v>144</v>
      </c>
      <c r="J34" s="8"/>
    </row>
    <row r="35" spans="1:10" ht="48" customHeight="1" x14ac:dyDescent="0.2">
      <c r="A35" s="7" t="s">
        <v>28</v>
      </c>
      <c r="B35" s="8" t="s">
        <v>100</v>
      </c>
      <c r="C35" s="10">
        <v>46298</v>
      </c>
      <c r="D35" s="7" t="s">
        <v>57</v>
      </c>
      <c r="E35" s="7" t="s">
        <v>49</v>
      </c>
      <c r="F35" s="8" t="s">
        <v>108</v>
      </c>
      <c r="G35" s="8" t="s">
        <v>296</v>
      </c>
      <c r="H35" s="8" t="s">
        <v>146</v>
      </c>
      <c r="I35" s="8" t="s">
        <v>147</v>
      </c>
      <c r="J35" s="8" t="s">
        <v>148</v>
      </c>
    </row>
    <row r="36" spans="1:10" ht="48" customHeight="1" x14ac:dyDescent="0.2">
      <c r="A36" s="7" t="s">
        <v>28</v>
      </c>
      <c r="B36" s="8" t="s">
        <v>100</v>
      </c>
      <c r="C36" s="10">
        <v>46298</v>
      </c>
      <c r="D36" s="7" t="s">
        <v>57</v>
      </c>
      <c r="E36" s="7" t="s">
        <v>50</v>
      </c>
      <c r="F36" s="8" t="s">
        <v>106</v>
      </c>
      <c r="G36" s="8" t="s">
        <v>243</v>
      </c>
      <c r="H36" s="8" t="s">
        <v>297</v>
      </c>
      <c r="I36" s="8" t="s">
        <v>149</v>
      </c>
      <c r="J36" s="8"/>
    </row>
    <row r="37" spans="1:10" ht="48" customHeight="1" x14ac:dyDescent="0.2">
      <c r="A37" s="7" t="s">
        <v>28</v>
      </c>
      <c r="B37" s="8" t="s">
        <v>100</v>
      </c>
      <c r="C37" s="10">
        <v>46298</v>
      </c>
      <c r="D37" s="7" t="s">
        <v>57</v>
      </c>
      <c r="E37" s="7" t="s">
        <v>51</v>
      </c>
      <c r="F37" s="8" t="s">
        <v>106</v>
      </c>
      <c r="G37" s="8" t="s">
        <v>298</v>
      </c>
      <c r="H37" s="8" t="s">
        <v>246</v>
      </c>
      <c r="I37" s="8" t="s">
        <v>150</v>
      </c>
      <c r="J37" s="8"/>
    </row>
    <row r="38" spans="1:10" ht="48" customHeight="1" x14ac:dyDescent="0.2">
      <c r="A38" s="7" t="s">
        <v>28</v>
      </c>
      <c r="B38" s="8" t="s">
        <v>100</v>
      </c>
      <c r="C38" s="10">
        <v>46298</v>
      </c>
      <c r="D38" s="7" t="s">
        <v>57</v>
      </c>
      <c r="E38" s="7" t="s">
        <v>52</v>
      </c>
      <c r="F38" s="8" t="s">
        <v>136</v>
      </c>
      <c r="G38" s="8" t="s">
        <v>300</v>
      </c>
      <c r="H38" s="8" t="s">
        <v>299</v>
      </c>
      <c r="I38" s="8" t="s">
        <v>151</v>
      </c>
      <c r="J38" s="8" t="s">
        <v>152</v>
      </c>
    </row>
    <row r="39" spans="1:10" ht="48" customHeight="1" x14ac:dyDescent="0.2">
      <c r="A39" s="7" t="s">
        <v>28</v>
      </c>
      <c r="B39" s="8" t="s">
        <v>100</v>
      </c>
      <c r="C39" s="10">
        <v>46298</v>
      </c>
      <c r="D39" s="7" t="s">
        <v>57</v>
      </c>
      <c r="E39" s="7" t="s">
        <v>53</v>
      </c>
      <c r="F39" s="8" t="s">
        <v>106</v>
      </c>
      <c r="G39" s="8" t="s">
        <v>302</v>
      </c>
      <c r="H39" s="8" t="s">
        <v>301</v>
      </c>
      <c r="I39" s="8" t="s">
        <v>145</v>
      </c>
      <c r="J39" s="8"/>
    </row>
    <row r="40" spans="1:10" ht="48" customHeight="1" x14ac:dyDescent="0.2">
      <c r="A40" s="7" t="s">
        <v>28</v>
      </c>
      <c r="B40" s="8" t="s">
        <v>100</v>
      </c>
      <c r="C40" s="10">
        <v>46298</v>
      </c>
      <c r="D40" s="7" t="s">
        <v>57</v>
      </c>
      <c r="E40" s="7" t="s">
        <v>54</v>
      </c>
      <c r="F40" s="8" t="s">
        <v>103</v>
      </c>
      <c r="G40" s="8" t="s">
        <v>303</v>
      </c>
      <c r="H40" s="8" t="s">
        <v>304</v>
      </c>
      <c r="I40" s="8" t="s">
        <v>144</v>
      </c>
      <c r="J40" s="8"/>
    </row>
    <row r="41" spans="1:10" ht="48" customHeight="1" thickBot="1" x14ac:dyDescent="0.25">
      <c r="A41" s="11" t="s">
        <v>28</v>
      </c>
      <c r="B41" s="8" t="s">
        <v>100</v>
      </c>
      <c r="C41" s="10">
        <v>46298</v>
      </c>
      <c r="D41" s="11" t="s">
        <v>57</v>
      </c>
      <c r="E41" s="11" t="s">
        <v>55</v>
      </c>
      <c r="F41" s="12">
        <v>7</v>
      </c>
      <c r="G41" s="12" t="s">
        <v>305</v>
      </c>
      <c r="H41" s="12" t="s">
        <v>306</v>
      </c>
      <c r="I41" s="12" t="s">
        <v>144</v>
      </c>
      <c r="J41" s="12"/>
    </row>
    <row r="42" spans="1:10" ht="48" customHeight="1" x14ac:dyDescent="0.2">
      <c r="A42" s="7" t="s">
        <v>29</v>
      </c>
      <c r="B42" s="8" t="s">
        <v>153</v>
      </c>
      <c r="C42" s="10">
        <v>46298</v>
      </c>
      <c r="D42" s="7" t="s">
        <v>58</v>
      </c>
      <c r="E42" s="7" t="s">
        <v>46</v>
      </c>
      <c r="F42" s="8" t="s">
        <v>106</v>
      </c>
      <c r="G42" s="8" t="s">
        <v>307</v>
      </c>
      <c r="H42" s="8" t="s">
        <v>308</v>
      </c>
      <c r="I42" s="8" t="s">
        <v>170</v>
      </c>
      <c r="J42" s="8"/>
    </row>
    <row r="43" spans="1:10" ht="48" customHeight="1" x14ac:dyDescent="0.2">
      <c r="A43" s="7" t="s">
        <v>29</v>
      </c>
      <c r="B43" s="8" t="s">
        <v>153</v>
      </c>
      <c r="C43" s="10">
        <v>46298</v>
      </c>
      <c r="D43" s="7" t="s">
        <v>58</v>
      </c>
      <c r="E43" s="7" t="s">
        <v>47</v>
      </c>
      <c r="F43" s="8" t="s">
        <v>106</v>
      </c>
      <c r="G43" s="8" t="s">
        <v>309</v>
      </c>
      <c r="H43" s="8" t="s">
        <v>276</v>
      </c>
      <c r="I43" s="8" t="s">
        <v>156</v>
      </c>
      <c r="J43" s="8"/>
    </row>
    <row r="44" spans="1:10" ht="48" customHeight="1" x14ac:dyDescent="0.2">
      <c r="A44" s="7" t="s">
        <v>29</v>
      </c>
      <c r="B44" s="8" t="s">
        <v>153</v>
      </c>
      <c r="C44" s="10">
        <v>46298</v>
      </c>
      <c r="D44" s="7" t="s">
        <v>58</v>
      </c>
      <c r="E44" s="7" t="s">
        <v>48</v>
      </c>
      <c r="F44" s="8" t="s">
        <v>108</v>
      </c>
      <c r="G44" s="8" t="s">
        <v>311</v>
      </c>
      <c r="H44" s="8" t="s">
        <v>310</v>
      </c>
      <c r="I44" s="8" t="s">
        <v>235</v>
      </c>
      <c r="J44" s="8" t="s">
        <v>157</v>
      </c>
    </row>
    <row r="45" spans="1:10" ht="48" customHeight="1" x14ac:dyDescent="0.2">
      <c r="A45" s="7" t="s">
        <v>29</v>
      </c>
      <c r="B45" s="8" t="s">
        <v>153</v>
      </c>
      <c r="C45" s="10">
        <v>46298</v>
      </c>
      <c r="D45" s="7" t="s">
        <v>58</v>
      </c>
      <c r="E45" s="7" t="s">
        <v>49</v>
      </c>
      <c r="F45" s="8" t="s">
        <v>108</v>
      </c>
      <c r="G45" s="8" t="s">
        <v>312</v>
      </c>
      <c r="H45" s="8" t="s">
        <v>158</v>
      </c>
      <c r="I45" s="8" t="s">
        <v>159</v>
      </c>
      <c r="J45" s="8"/>
    </row>
    <row r="46" spans="1:10" ht="48" customHeight="1" x14ac:dyDescent="0.2">
      <c r="A46" s="7" t="s">
        <v>29</v>
      </c>
      <c r="B46" s="8" t="s">
        <v>153</v>
      </c>
      <c r="C46" s="10">
        <v>46298</v>
      </c>
      <c r="D46" s="7" t="s">
        <v>58</v>
      </c>
      <c r="E46" s="7" t="s">
        <v>50</v>
      </c>
      <c r="F46" s="8" t="s">
        <v>103</v>
      </c>
      <c r="G46" s="8" t="s">
        <v>313</v>
      </c>
      <c r="H46" s="8" t="s">
        <v>314</v>
      </c>
      <c r="I46" s="8" t="s">
        <v>160</v>
      </c>
      <c r="J46" s="8"/>
    </row>
    <row r="47" spans="1:10" ht="48" customHeight="1" x14ac:dyDescent="0.2">
      <c r="A47" s="7" t="s">
        <v>29</v>
      </c>
      <c r="B47" s="8" t="s">
        <v>153</v>
      </c>
      <c r="C47" s="10">
        <v>46298</v>
      </c>
      <c r="D47" s="7" t="s">
        <v>58</v>
      </c>
      <c r="E47" s="7" t="s">
        <v>51</v>
      </c>
      <c r="F47" s="8" t="s">
        <v>108</v>
      </c>
      <c r="G47" s="8" t="s">
        <v>316</v>
      </c>
      <c r="H47" s="8" t="s">
        <v>315</v>
      </c>
      <c r="I47" s="8" t="s">
        <v>161</v>
      </c>
      <c r="J47" s="8"/>
    </row>
    <row r="48" spans="1:10" ht="48" customHeight="1" x14ac:dyDescent="0.2">
      <c r="A48" s="7" t="s">
        <v>29</v>
      </c>
      <c r="B48" s="8" t="s">
        <v>153</v>
      </c>
      <c r="C48" s="10">
        <v>46298</v>
      </c>
      <c r="D48" s="7" t="s">
        <v>58</v>
      </c>
      <c r="E48" s="7" t="s">
        <v>52</v>
      </c>
      <c r="F48" s="8" t="s">
        <v>106</v>
      </c>
      <c r="G48" s="8" t="s">
        <v>162</v>
      </c>
      <c r="H48" s="8" t="s">
        <v>163</v>
      </c>
      <c r="I48" s="8" t="s">
        <v>164</v>
      </c>
      <c r="J48" s="8"/>
    </row>
    <row r="49" spans="1:10" ht="48" customHeight="1" x14ac:dyDescent="0.2">
      <c r="A49" s="7" t="s">
        <v>29</v>
      </c>
      <c r="B49" s="8" t="s">
        <v>153</v>
      </c>
      <c r="C49" s="10">
        <v>46298</v>
      </c>
      <c r="D49" s="7" t="s">
        <v>58</v>
      </c>
      <c r="E49" s="7" t="s">
        <v>53</v>
      </c>
      <c r="F49" s="8" t="s">
        <v>106</v>
      </c>
      <c r="G49" s="8" t="s">
        <v>165</v>
      </c>
      <c r="H49" s="8" t="s">
        <v>166</v>
      </c>
      <c r="I49" s="8" t="s">
        <v>156</v>
      </c>
      <c r="J49" s="8"/>
    </row>
    <row r="50" spans="1:10" ht="48" customHeight="1" x14ac:dyDescent="0.2">
      <c r="A50" s="7" t="s">
        <v>29</v>
      </c>
      <c r="B50" s="8" t="s">
        <v>153</v>
      </c>
      <c r="C50" s="10">
        <v>46298</v>
      </c>
      <c r="D50" s="7" t="s">
        <v>58</v>
      </c>
      <c r="E50" s="7" t="s">
        <v>54</v>
      </c>
      <c r="F50" s="8" t="s">
        <v>106</v>
      </c>
      <c r="G50" s="8" t="s">
        <v>167</v>
      </c>
      <c r="H50" s="8" t="s">
        <v>168</v>
      </c>
      <c r="I50" s="8" t="s">
        <v>169</v>
      </c>
      <c r="J50" s="8"/>
    </row>
    <row r="51" spans="1:10" ht="48" customHeight="1" thickBot="1" x14ac:dyDescent="0.25">
      <c r="A51" s="11" t="s">
        <v>29</v>
      </c>
      <c r="B51" s="8" t="s">
        <v>153</v>
      </c>
      <c r="C51" s="10">
        <v>46298</v>
      </c>
      <c r="D51" s="11" t="s">
        <v>58</v>
      </c>
      <c r="E51" s="11" t="s">
        <v>55</v>
      </c>
      <c r="F51" s="12">
        <v>23</v>
      </c>
      <c r="G51" s="12" t="s">
        <v>154</v>
      </c>
      <c r="H51" s="12" t="s">
        <v>317</v>
      </c>
      <c r="I51" s="12" t="s">
        <v>155</v>
      </c>
      <c r="J51" s="12"/>
    </row>
    <row r="52" spans="1:10" ht="48" customHeight="1" x14ac:dyDescent="0.2">
      <c r="A52" s="7" t="s">
        <v>30</v>
      </c>
      <c r="B52" s="8" t="s">
        <v>98</v>
      </c>
      <c r="C52" s="10">
        <v>46298</v>
      </c>
      <c r="D52" s="7" t="s">
        <v>45</v>
      </c>
      <c r="E52" s="7" t="s">
        <v>46</v>
      </c>
      <c r="F52" s="8" t="s">
        <v>103</v>
      </c>
      <c r="G52" s="8" t="s">
        <v>171</v>
      </c>
      <c r="H52" s="8" t="s">
        <v>172</v>
      </c>
      <c r="I52" s="8" t="s">
        <v>173</v>
      </c>
      <c r="J52" s="8"/>
    </row>
    <row r="53" spans="1:10" ht="48" customHeight="1" x14ac:dyDescent="0.2">
      <c r="A53" s="7" t="s">
        <v>30</v>
      </c>
      <c r="B53" s="8" t="s">
        <v>98</v>
      </c>
      <c r="C53" s="10">
        <v>46298</v>
      </c>
      <c r="D53" s="7" t="s">
        <v>45</v>
      </c>
      <c r="E53" s="7" t="s">
        <v>47</v>
      </c>
      <c r="F53" s="8" t="s">
        <v>106</v>
      </c>
      <c r="G53" s="8" t="s">
        <v>174</v>
      </c>
      <c r="H53" s="8" t="s">
        <v>175</v>
      </c>
      <c r="I53" s="8" t="s">
        <v>176</v>
      </c>
      <c r="J53" s="8"/>
    </row>
    <row r="54" spans="1:10" ht="48" customHeight="1" x14ac:dyDescent="0.2">
      <c r="A54" s="7" t="s">
        <v>30</v>
      </c>
      <c r="B54" s="8" t="s">
        <v>98</v>
      </c>
      <c r="C54" s="10">
        <v>46298</v>
      </c>
      <c r="D54" s="7" t="s">
        <v>45</v>
      </c>
      <c r="E54" s="7" t="s">
        <v>48</v>
      </c>
      <c r="F54" s="8" t="s">
        <v>106</v>
      </c>
      <c r="G54" s="8" t="s">
        <v>177</v>
      </c>
      <c r="H54" s="8" t="s">
        <v>178</v>
      </c>
      <c r="I54" s="8" t="s">
        <v>176</v>
      </c>
      <c r="J54" s="8"/>
    </row>
    <row r="55" spans="1:10" ht="48" customHeight="1" x14ac:dyDescent="0.2">
      <c r="A55" s="7" t="s">
        <v>30</v>
      </c>
      <c r="B55" s="8" t="s">
        <v>98</v>
      </c>
      <c r="C55" s="10">
        <v>46298</v>
      </c>
      <c r="D55" s="7" t="s">
        <v>45</v>
      </c>
      <c r="E55" s="7" t="s">
        <v>49</v>
      </c>
      <c r="F55" s="8" t="s">
        <v>108</v>
      </c>
      <c r="G55" s="8" t="s">
        <v>179</v>
      </c>
      <c r="H55" s="8" t="s">
        <v>180</v>
      </c>
      <c r="I55" s="8" t="s">
        <v>181</v>
      </c>
      <c r="J55" s="8" t="s">
        <v>182</v>
      </c>
    </row>
    <row r="56" spans="1:10" ht="48" customHeight="1" x14ac:dyDescent="0.2">
      <c r="A56" s="7" t="s">
        <v>30</v>
      </c>
      <c r="B56" s="8" t="s">
        <v>98</v>
      </c>
      <c r="C56" s="10">
        <v>46298</v>
      </c>
      <c r="D56" s="7" t="s">
        <v>45</v>
      </c>
      <c r="E56" s="7" t="s">
        <v>50</v>
      </c>
      <c r="F56" s="8" t="s">
        <v>108</v>
      </c>
      <c r="G56" s="8" t="s">
        <v>183</v>
      </c>
      <c r="H56" s="8" t="s">
        <v>184</v>
      </c>
      <c r="I56" s="8" t="s">
        <v>185</v>
      </c>
      <c r="J56" s="8"/>
    </row>
    <row r="57" spans="1:10" ht="48" customHeight="1" x14ac:dyDescent="0.2">
      <c r="A57" s="7" t="s">
        <v>30</v>
      </c>
      <c r="B57" s="8" t="s">
        <v>98</v>
      </c>
      <c r="C57" s="10">
        <v>46298</v>
      </c>
      <c r="D57" s="7" t="s">
        <v>45</v>
      </c>
      <c r="E57" s="7" t="s">
        <v>51</v>
      </c>
      <c r="F57" s="8" t="s">
        <v>106</v>
      </c>
      <c r="G57" s="8" t="s">
        <v>186</v>
      </c>
      <c r="H57" s="8" t="s">
        <v>187</v>
      </c>
      <c r="I57" s="8" t="s">
        <v>188</v>
      </c>
      <c r="J57" s="8"/>
    </row>
    <row r="58" spans="1:10" ht="48" customHeight="1" x14ac:dyDescent="0.2">
      <c r="A58" s="7" t="s">
        <v>30</v>
      </c>
      <c r="B58" s="8" t="s">
        <v>98</v>
      </c>
      <c r="C58" s="10">
        <v>46298</v>
      </c>
      <c r="D58" s="7" t="s">
        <v>45</v>
      </c>
      <c r="E58" s="7" t="s">
        <v>52</v>
      </c>
      <c r="F58" s="8" t="s">
        <v>136</v>
      </c>
      <c r="G58" s="8" t="s">
        <v>189</v>
      </c>
      <c r="H58" s="8" t="s">
        <v>190</v>
      </c>
      <c r="I58" s="8" t="s">
        <v>191</v>
      </c>
      <c r="J58" s="8" t="s">
        <v>192</v>
      </c>
    </row>
    <row r="59" spans="1:10" ht="48" customHeight="1" x14ac:dyDescent="0.2">
      <c r="A59" s="7" t="s">
        <v>30</v>
      </c>
      <c r="B59" s="8" t="s">
        <v>98</v>
      </c>
      <c r="C59" s="10">
        <v>46298</v>
      </c>
      <c r="D59" s="7" t="s">
        <v>45</v>
      </c>
      <c r="E59" s="7" t="s">
        <v>53</v>
      </c>
      <c r="F59" s="8" t="s">
        <v>106</v>
      </c>
      <c r="G59" s="8" t="s">
        <v>193</v>
      </c>
      <c r="H59" s="8" t="s">
        <v>194</v>
      </c>
      <c r="I59" s="8" t="s">
        <v>195</v>
      </c>
      <c r="J59" s="8"/>
    </row>
    <row r="60" spans="1:10" ht="48" customHeight="1" x14ac:dyDescent="0.2">
      <c r="A60" s="7" t="s">
        <v>30</v>
      </c>
      <c r="B60" s="8" t="s">
        <v>98</v>
      </c>
      <c r="C60" s="10">
        <v>46298</v>
      </c>
      <c r="D60" s="7" t="s">
        <v>45</v>
      </c>
      <c r="E60" s="7" t="s">
        <v>54</v>
      </c>
      <c r="F60" s="8" t="s">
        <v>103</v>
      </c>
      <c r="G60" s="8" t="s">
        <v>196</v>
      </c>
      <c r="H60" s="8" t="s">
        <v>197</v>
      </c>
      <c r="I60" s="8" t="s">
        <v>176</v>
      </c>
      <c r="J60" s="8"/>
    </row>
    <row r="61" spans="1:10" ht="48" customHeight="1" thickBot="1" x14ac:dyDescent="0.25">
      <c r="A61" s="11" t="s">
        <v>30</v>
      </c>
      <c r="B61" s="8" t="s">
        <v>98</v>
      </c>
      <c r="C61" s="10">
        <v>46298</v>
      </c>
      <c r="D61" s="11" t="s">
        <v>45</v>
      </c>
      <c r="E61" s="11" t="s">
        <v>55</v>
      </c>
      <c r="F61" s="12">
        <v>5</v>
      </c>
      <c r="G61" s="12" t="s">
        <v>198</v>
      </c>
      <c r="H61" s="12" t="s">
        <v>199</v>
      </c>
      <c r="I61" s="12" t="s">
        <v>173</v>
      </c>
      <c r="J61" s="12" t="s">
        <v>200</v>
      </c>
    </row>
    <row r="62" spans="1:10" ht="48" customHeight="1" x14ac:dyDescent="0.2">
      <c r="A62" s="7" t="s">
        <v>32</v>
      </c>
      <c r="B62" s="8" t="s">
        <v>224</v>
      </c>
      <c r="C62" s="10">
        <v>46298</v>
      </c>
      <c r="D62" s="7" t="s">
        <v>59</v>
      </c>
      <c r="E62" s="7" t="s">
        <v>46</v>
      </c>
      <c r="F62" s="8" t="s">
        <v>103</v>
      </c>
      <c r="G62" s="8" t="s">
        <v>201</v>
      </c>
      <c r="H62" s="8" t="s">
        <v>202</v>
      </c>
      <c r="I62" s="8" t="s">
        <v>203</v>
      </c>
      <c r="J62" s="8"/>
    </row>
    <row r="63" spans="1:10" ht="48" customHeight="1" x14ac:dyDescent="0.2">
      <c r="A63" s="7" t="s">
        <v>32</v>
      </c>
      <c r="B63" s="8" t="s">
        <v>224</v>
      </c>
      <c r="C63" s="10">
        <v>46298</v>
      </c>
      <c r="D63" s="7" t="s">
        <v>59</v>
      </c>
      <c r="E63" s="7" t="s">
        <v>47</v>
      </c>
      <c r="F63" s="8" t="s">
        <v>103</v>
      </c>
      <c r="G63" s="8" t="s">
        <v>205</v>
      </c>
      <c r="H63" s="8" t="s">
        <v>234</v>
      </c>
      <c r="I63" s="8" t="s">
        <v>206</v>
      </c>
      <c r="J63" s="8"/>
    </row>
    <row r="64" spans="1:10" ht="48" customHeight="1" x14ac:dyDescent="0.2">
      <c r="A64" s="7" t="s">
        <v>32</v>
      </c>
      <c r="B64" s="8" t="s">
        <v>224</v>
      </c>
      <c r="C64" s="10">
        <v>46298</v>
      </c>
      <c r="D64" s="7" t="s">
        <v>59</v>
      </c>
      <c r="E64" s="7" t="s">
        <v>48</v>
      </c>
      <c r="F64" s="8" t="s">
        <v>103</v>
      </c>
      <c r="G64" s="8" t="s">
        <v>207</v>
      </c>
      <c r="H64" s="8" t="s">
        <v>208</v>
      </c>
      <c r="I64" s="8" t="s">
        <v>209</v>
      </c>
      <c r="J64" s="8"/>
    </row>
    <row r="65" spans="1:10" ht="48" customHeight="1" x14ac:dyDescent="0.2">
      <c r="A65" s="7" t="s">
        <v>32</v>
      </c>
      <c r="B65" s="8" t="s">
        <v>224</v>
      </c>
      <c r="C65" s="10">
        <v>46298</v>
      </c>
      <c r="D65" s="7" t="s">
        <v>59</v>
      </c>
      <c r="E65" s="7" t="s">
        <v>49</v>
      </c>
      <c r="F65" s="8" t="s">
        <v>103</v>
      </c>
      <c r="G65" s="8" t="s">
        <v>210</v>
      </c>
      <c r="H65" s="8" t="s">
        <v>232</v>
      </c>
      <c r="I65" s="8" t="s">
        <v>211</v>
      </c>
      <c r="J65" s="8"/>
    </row>
    <row r="66" spans="1:10" ht="48" customHeight="1" x14ac:dyDescent="0.2">
      <c r="A66" s="7" t="s">
        <v>32</v>
      </c>
      <c r="B66" s="8" t="s">
        <v>224</v>
      </c>
      <c r="C66" s="10">
        <v>46298</v>
      </c>
      <c r="D66" s="7" t="s">
        <v>59</v>
      </c>
      <c r="E66" s="7" t="s">
        <v>50</v>
      </c>
      <c r="F66" s="8" t="s">
        <v>103</v>
      </c>
      <c r="G66" s="8" t="s">
        <v>212</v>
      </c>
      <c r="H66" s="8" t="s">
        <v>213</v>
      </c>
      <c r="I66" s="8" t="s">
        <v>214</v>
      </c>
      <c r="J66" s="8"/>
    </row>
    <row r="67" spans="1:10" ht="48" customHeight="1" x14ac:dyDescent="0.2">
      <c r="A67" s="7" t="s">
        <v>32</v>
      </c>
      <c r="B67" s="8" t="s">
        <v>224</v>
      </c>
      <c r="C67" s="10">
        <v>46298</v>
      </c>
      <c r="D67" s="7" t="s">
        <v>59</v>
      </c>
      <c r="E67" s="7" t="s">
        <v>51</v>
      </c>
      <c r="F67" s="8" t="s">
        <v>103</v>
      </c>
      <c r="G67" s="8" t="s">
        <v>215</v>
      </c>
      <c r="H67" s="8" t="s">
        <v>216</v>
      </c>
      <c r="I67" s="8" t="s">
        <v>217</v>
      </c>
      <c r="J67" s="8"/>
    </row>
    <row r="68" spans="1:10" ht="48" customHeight="1" x14ac:dyDescent="0.2">
      <c r="A68" s="7" t="s">
        <v>32</v>
      </c>
      <c r="B68" s="8" t="s">
        <v>224</v>
      </c>
      <c r="C68" s="10">
        <v>46298</v>
      </c>
      <c r="D68" s="7" t="s">
        <v>59</v>
      </c>
      <c r="E68" s="7" t="s">
        <v>52</v>
      </c>
      <c r="F68" s="8" t="s">
        <v>106</v>
      </c>
      <c r="G68" s="8" t="s">
        <v>218</v>
      </c>
      <c r="H68" s="8" t="s">
        <v>220</v>
      </c>
      <c r="I68" s="8" t="s">
        <v>219</v>
      </c>
      <c r="J68" s="8"/>
    </row>
    <row r="69" spans="1:10" ht="48" customHeight="1" x14ac:dyDescent="0.2">
      <c r="A69" s="7" t="s">
        <v>32</v>
      </c>
      <c r="B69" s="8" t="s">
        <v>224</v>
      </c>
      <c r="C69" s="10">
        <v>46299</v>
      </c>
      <c r="D69" s="7" t="s">
        <v>59</v>
      </c>
      <c r="E69" s="7" t="s">
        <v>53</v>
      </c>
      <c r="F69" s="8" t="s">
        <v>106</v>
      </c>
      <c r="G69" s="8" t="s">
        <v>320</v>
      </c>
      <c r="H69" s="8" t="s">
        <v>221</v>
      </c>
      <c r="I69" s="8" t="s">
        <v>222</v>
      </c>
      <c r="J69" s="8"/>
    </row>
    <row r="70" spans="1:10" ht="48" customHeight="1" x14ac:dyDescent="0.2">
      <c r="A70" s="7" t="s">
        <v>32</v>
      </c>
      <c r="B70" s="8" t="s">
        <v>224</v>
      </c>
      <c r="C70" s="10">
        <v>46299</v>
      </c>
      <c r="D70" s="7" t="s">
        <v>59</v>
      </c>
      <c r="E70" s="7" t="s">
        <v>54</v>
      </c>
      <c r="F70" s="8" t="s">
        <v>106</v>
      </c>
      <c r="G70" s="8" t="s">
        <v>319</v>
      </c>
      <c r="H70" s="8" t="s">
        <v>318</v>
      </c>
      <c r="I70" s="8" t="s">
        <v>223</v>
      </c>
      <c r="J70" s="8"/>
    </row>
    <row r="71" spans="1:10" ht="48" customHeight="1" thickBot="1" x14ac:dyDescent="0.25">
      <c r="A71" s="11" t="s">
        <v>32</v>
      </c>
      <c r="B71" s="8" t="s">
        <v>224</v>
      </c>
      <c r="C71" s="10">
        <v>46298</v>
      </c>
      <c r="D71" s="11" t="s">
        <v>59</v>
      </c>
      <c r="E71" s="11" t="s">
        <v>55</v>
      </c>
      <c r="F71" s="12">
        <v>13</v>
      </c>
      <c r="G71" s="12" t="s">
        <v>231</v>
      </c>
      <c r="H71" s="12" t="s">
        <v>230</v>
      </c>
      <c r="I71" s="12" t="s">
        <v>204</v>
      </c>
      <c r="J71" s="12"/>
    </row>
  </sheetData>
  <autoFilter ref="A1:J71" xr:uid="{00000000-0009-0000-0000-000002000000}"/>
  <phoneticPr fontId="6" type="noConversion"/>
  <conditionalFormatting sqref="H2:H71">
    <cfRule type="expression" dxfId="0" priority="1">
      <formula>AND($F2&lt;&gt;"",$H2="")</formula>
    </cfRule>
  </conditionalFormatting>
  <dataValidations count="2">
    <dataValidation type="list" allowBlank="1" showInputMessage="1" promptTitle="score" prompt="Pick ✓, (✓), ✕ or ERROR. For E1 type a number." sqref="F2:F71" xr:uid="{00000000-0002-0000-0200-000000000000}">
      <formula1>"✓,(✓),✕,ERROR"</formula1>
    </dataValidation>
    <dataValidation type="date" operator="greaterThan" allowBlank="1" showErrorMessage="1" errorTitle="Date" error="Type a date like 2026-10-05" sqref="B2:B5 C2:C71" xr:uid="{00000000-0002-0000-0200-000001000000}">
      <formula1>44927</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heetViews>
  <sheetFormatPr baseColWidth="10" defaultColWidth="8.83203125" defaultRowHeight="15" x14ac:dyDescent="0.2"/>
  <cols>
    <col min="1" max="1" width="7" customWidth="1"/>
    <col min="2" max="2" width="20" customWidth="1"/>
    <col min="3" max="3" width="70" customWidth="1"/>
    <col min="4" max="4" width="50" customWidth="1"/>
  </cols>
  <sheetData>
    <row r="1" spans="1:4" x14ac:dyDescent="0.2">
      <c r="A1" s="6" t="s">
        <v>60</v>
      </c>
      <c r="B1" s="6" t="s">
        <v>61</v>
      </c>
      <c r="C1" s="6" t="s">
        <v>62</v>
      </c>
      <c r="D1" s="6" t="s">
        <v>63</v>
      </c>
    </row>
    <row r="2" spans="1:4" ht="52" customHeight="1" x14ac:dyDescent="0.2">
      <c r="A2" s="13" t="s">
        <v>46</v>
      </c>
      <c r="B2" s="13" t="s">
        <v>64</v>
      </c>
      <c r="C2" s="13" t="s">
        <v>65</v>
      </c>
      <c r="D2" s="13" t="s">
        <v>66</v>
      </c>
    </row>
    <row r="3" spans="1:4" ht="52" customHeight="1" x14ac:dyDescent="0.2">
      <c r="A3" s="13" t="s">
        <v>47</v>
      </c>
      <c r="B3" s="13" t="s">
        <v>67</v>
      </c>
      <c r="C3" s="13" t="s">
        <v>68</v>
      </c>
      <c r="D3" s="13" t="s">
        <v>69</v>
      </c>
    </row>
    <row r="4" spans="1:4" ht="52" customHeight="1" x14ac:dyDescent="0.2">
      <c r="A4" s="13" t="s">
        <v>48</v>
      </c>
      <c r="B4" s="13" t="s">
        <v>70</v>
      </c>
      <c r="C4" s="13" t="s">
        <v>71</v>
      </c>
      <c r="D4" s="13" t="s">
        <v>72</v>
      </c>
    </row>
    <row r="5" spans="1:4" ht="52" customHeight="1" x14ac:dyDescent="0.2">
      <c r="A5" s="13" t="s">
        <v>49</v>
      </c>
      <c r="B5" s="13" t="s">
        <v>73</v>
      </c>
      <c r="C5" s="13" t="s">
        <v>74</v>
      </c>
      <c r="D5" s="13" t="s">
        <v>75</v>
      </c>
    </row>
    <row r="6" spans="1:4" ht="52" customHeight="1" x14ac:dyDescent="0.2">
      <c r="A6" s="13" t="s">
        <v>50</v>
      </c>
      <c r="B6" s="13" t="s">
        <v>76</v>
      </c>
      <c r="C6" s="13" t="s">
        <v>77</v>
      </c>
      <c r="D6" s="13" t="s">
        <v>78</v>
      </c>
    </row>
    <row r="7" spans="1:4" ht="52" customHeight="1" x14ac:dyDescent="0.2">
      <c r="A7" s="13" t="s">
        <v>51</v>
      </c>
      <c r="B7" s="13" t="s">
        <v>79</v>
      </c>
      <c r="C7" s="13" t="s">
        <v>80</v>
      </c>
      <c r="D7" s="13" t="s">
        <v>81</v>
      </c>
    </row>
    <row r="8" spans="1:4" ht="52" customHeight="1" x14ac:dyDescent="0.2">
      <c r="A8" s="13" t="s">
        <v>52</v>
      </c>
      <c r="B8" s="13" t="s">
        <v>82</v>
      </c>
      <c r="C8" s="13" t="s">
        <v>83</v>
      </c>
      <c r="D8" s="13" t="s">
        <v>84</v>
      </c>
    </row>
    <row r="9" spans="1:4" ht="52" customHeight="1" x14ac:dyDescent="0.2">
      <c r="A9" s="13" t="s">
        <v>53</v>
      </c>
      <c r="B9" s="13" t="s">
        <v>85</v>
      </c>
      <c r="C9" s="13" t="s">
        <v>86</v>
      </c>
      <c r="D9" s="13" t="s">
        <v>84</v>
      </c>
    </row>
    <row r="10" spans="1:4" ht="52" customHeight="1" x14ac:dyDescent="0.2">
      <c r="A10" s="13" t="s">
        <v>54</v>
      </c>
      <c r="B10" s="13" t="s">
        <v>87</v>
      </c>
      <c r="C10" s="13" t="s">
        <v>88</v>
      </c>
      <c r="D10" s="13" t="s">
        <v>89</v>
      </c>
    </row>
    <row r="11" spans="1:4" ht="52" customHeight="1" x14ac:dyDescent="0.2">
      <c r="A11" s="13" t="s">
        <v>55</v>
      </c>
      <c r="B11" s="13" t="s">
        <v>90</v>
      </c>
      <c r="C11" s="13" t="s">
        <v>91</v>
      </c>
      <c r="D11" s="13" t="s">
        <v>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Setup</vt:lpstr>
      <vt:lpstr>Results</vt:lpstr>
      <vt:lpstr>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 An</cp:lastModifiedBy>
  <dcterms:created xsi:type="dcterms:W3CDTF">2026-10-01T17:23:31Z</dcterms:created>
  <dcterms:modified xsi:type="dcterms:W3CDTF">2026-10-03T17:49:06Z</dcterms:modified>
</cp:coreProperties>
</file>